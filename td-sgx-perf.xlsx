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kczmudzi\kcz-intel-sgx\"/>
    </mc:Choice>
  </mc:AlternateContent>
  <xr:revisionPtr revIDLastSave="0" documentId="13_ncr:1_{68609C76-7409-491E-A8F7-0349D590031C}" xr6:coauthVersionLast="47" xr6:coauthVersionMax="47" xr10:uidLastSave="{00000000-0000-0000-0000-000000000000}"/>
  <bookViews>
    <workbookView xWindow="-120" yWindow="-120" windowWidth="25440" windowHeight="15270" firstSheet="2" activeTab="11" xr2:uid="{6E34CDE3-2C33-4776-B434-C84CBBE327E8}"/>
  </bookViews>
  <sheets>
    <sheet name="VM-TD" sheetId="12" r:id="rId1"/>
    <sheet name="Perf" sheetId="1" r:id="rId2"/>
    <sheet name="Cxx11" sheetId="2" r:id="rId3"/>
    <sheet name="Cxx14" sheetId="4" r:id="rId4"/>
    <sheet name="Cxx17" sheetId="5" r:id="rId5"/>
    <sheet name="Protobuf" sheetId="6" r:id="rId6"/>
    <sheet name="CommonLoader" sheetId="3" r:id="rId7"/>
    <sheet name="SampleEnclave" sheetId="7" r:id="rId8"/>
    <sheet name="GMIPP" sheetId="8" r:id="rId9"/>
    <sheet name="PCL" sheetId="9" r:id="rId10"/>
    <sheet name="SealUnseal" sheetId="10" r:id="rId11"/>
    <sheet name="Switchless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3" i="11" l="1"/>
  <c r="W103" i="11"/>
  <c r="U103" i="11"/>
  <c r="O103" i="11"/>
  <c r="M103" i="11"/>
  <c r="K103" i="11"/>
  <c r="I103" i="11"/>
  <c r="G103" i="11"/>
  <c r="E103" i="11"/>
  <c r="C103" i="11"/>
  <c r="C102" i="11"/>
  <c r="D102" i="11"/>
  <c r="E102" i="11"/>
  <c r="F102" i="11"/>
  <c r="G102" i="11"/>
  <c r="H102" i="11"/>
  <c r="I102" i="11"/>
  <c r="J102" i="11"/>
  <c r="K102" i="11"/>
  <c r="L102" i="11"/>
  <c r="M102" i="11"/>
  <c r="N102" i="11"/>
  <c r="O102" i="11"/>
  <c r="P102" i="11"/>
  <c r="Q102" i="11"/>
  <c r="R102" i="11"/>
  <c r="S102" i="11"/>
  <c r="T102" i="11"/>
  <c r="U102" i="11"/>
  <c r="V102" i="11"/>
  <c r="W102" i="11"/>
  <c r="X102" i="11"/>
  <c r="Y102" i="11"/>
  <c r="B102" i="11"/>
  <c r="W103" i="10"/>
  <c r="U103" i="10"/>
  <c r="S103" i="10"/>
  <c r="M103" i="10"/>
  <c r="K103" i="10"/>
  <c r="I103" i="10"/>
  <c r="G103" i="10"/>
  <c r="E103" i="10"/>
  <c r="C103" i="10"/>
  <c r="C102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B102" i="10"/>
  <c r="U103" i="9"/>
  <c r="S103" i="9"/>
  <c r="Q103" i="9"/>
  <c r="K103" i="9"/>
  <c r="I103" i="9"/>
  <c r="G103" i="9"/>
  <c r="C103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B102" i="9"/>
  <c r="AC103" i="8"/>
  <c r="AA103" i="8"/>
  <c r="Y103" i="8"/>
  <c r="S103" i="8"/>
  <c r="Q103" i="8"/>
  <c r="O103" i="8"/>
  <c r="C103" i="8"/>
  <c r="AC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B102" i="8"/>
  <c r="U103" i="7"/>
  <c r="S103" i="7"/>
  <c r="Q103" i="7"/>
  <c r="O103" i="7"/>
  <c r="M103" i="7"/>
  <c r="K103" i="7"/>
  <c r="I103" i="7"/>
  <c r="G103" i="7"/>
  <c r="E103" i="7"/>
  <c r="C103" i="7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B102" i="7"/>
  <c r="M103" i="3"/>
  <c r="L102" i="3"/>
  <c r="M102" i="3"/>
  <c r="C102" i="3"/>
  <c r="C103" i="3" s="1"/>
  <c r="D102" i="3"/>
  <c r="E103" i="3" s="1"/>
  <c r="E102" i="3"/>
  <c r="F102" i="3"/>
  <c r="G102" i="3"/>
  <c r="H102" i="3"/>
  <c r="I102" i="3"/>
  <c r="I103" i="3" s="1"/>
  <c r="J102" i="3"/>
  <c r="K102" i="3"/>
  <c r="K103" i="3" s="1"/>
  <c r="N102" i="3"/>
  <c r="O102" i="3"/>
  <c r="P102" i="3"/>
  <c r="Q102" i="3"/>
  <c r="R102" i="3"/>
  <c r="S102" i="3"/>
  <c r="T102" i="3"/>
  <c r="U102" i="3"/>
  <c r="U103" i="3" s="1"/>
  <c r="V102" i="3"/>
  <c r="W102" i="3"/>
  <c r="X102" i="3"/>
  <c r="Y102" i="3"/>
  <c r="Y103" i="3" s="1"/>
  <c r="B102" i="3"/>
  <c r="I93" i="3"/>
  <c r="I94" i="3"/>
  <c r="I95" i="3"/>
  <c r="I96" i="3"/>
  <c r="I97" i="3"/>
  <c r="I98" i="3"/>
  <c r="I99" i="3"/>
  <c r="I100" i="3"/>
  <c r="I101" i="3"/>
  <c r="H93" i="3"/>
  <c r="H94" i="3"/>
  <c r="H95" i="3"/>
  <c r="H96" i="3"/>
  <c r="H97" i="3"/>
  <c r="H98" i="3"/>
  <c r="H99" i="3"/>
  <c r="H100" i="3"/>
  <c r="H101" i="3"/>
  <c r="I92" i="3"/>
  <c r="H92" i="3"/>
  <c r="S103" i="6"/>
  <c r="Q103" i="6"/>
  <c r="O103" i="6"/>
  <c r="I103" i="6"/>
  <c r="G103" i="6"/>
  <c r="E103" i="6"/>
  <c r="C103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B102" i="6"/>
  <c r="S103" i="5"/>
  <c r="Q103" i="5"/>
  <c r="O103" i="5"/>
  <c r="I103" i="5"/>
  <c r="G103" i="5"/>
  <c r="E103" i="5"/>
  <c r="C103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B102" i="5"/>
  <c r="S103" i="4"/>
  <c r="Q103" i="4"/>
  <c r="O103" i="4"/>
  <c r="I103" i="4"/>
  <c r="G103" i="4"/>
  <c r="E103" i="4"/>
  <c r="C103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B102" i="4"/>
  <c r="C60" i="2"/>
  <c r="C61" i="2"/>
  <c r="S103" i="2"/>
  <c r="Q103" i="2"/>
  <c r="O103" i="2"/>
  <c r="M103" i="2"/>
  <c r="K103" i="2"/>
  <c r="G103" i="2"/>
  <c r="C103" i="2"/>
  <c r="C102" i="2"/>
  <c r="D102" i="2"/>
  <c r="E102" i="2"/>
  <c r="F102" i="2"/>
  <c r="G102" i="2"/>
  <c r="H102" i="2"/>
  <c r="I103" i="2" s="1"/>
  <c r="I102" i="2"/>
  <c r="J102" i="2"/>
  <c r="K102" i="2"/>
  <c r="L102" i="2"/>
  <c r="M102" i="2"/>
  <c r="N102" i="2"/>
  <c r="O102" i="2"/>
  <c r="P102" i="2"/>
  <c r="Q102" i="2"/>
  <c r="R102" i="2"/>
  <c r="S102" i="2"/>
  <c r="B102" i="2"/>
  <c r="I56" i="11"/>
  <c r="Y55" i="11"/>
  <c r="W55" i="11"/>
  <c r="U55" i="11"/>
  <c r="S55" i="11"/>
  <c r="Q55" i="11"/>
  <c r="O55" i="11"/>
  <c r="M55" i="11"/>
  <c r="K55" i="11"/>
  <c r="I55" i="11"/>
  <c r="G55" i="11"/>
  <c r="E55" i="11"/>
  <c r="C55" i="11"/>
  <c r="C54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U54" i="11"/>
  <c r="V54" i="11"/>
  <c r="W54" i="11"/>
  <c r="X54" i="11"/>
  <c r="Y54" i="11"/>
  <c r="B54" i="11"/>
  <c r="F73" i="3"/>
  <c r="C39" i="11"/>
  <c r="C38" i="11"/>
  <c r="C54" i="10"/>
  <c r="C44" i="8"/>
  <c r="C43" i="8"/>
  <c r="F72" i="3"/>
  <c r="F63" i="3"/>
  <c r="F64" i="3"/>
  <c r="F65" i="3"/>
  <c r="F66" i="3"/>
  <c r="F67" i="3"/>
  <c r="F68" i="3"/>
  <c r="F69" i="3"/>
  <c r="F70" i="3"/>
  <c r="F71" i="3"/>
  <c r="F62" i="3"/>
  <c r="C74" i="6"/>
  <c r="C73" i="6"/>
  <c r="C74" i="5"/>
  <c r="Y45" i="3"/>
  <c r="W45" i="3"/>
  <c r="U45" i="3"/>
  <c r="S45" i="3"/>
  <c r="Q45" i="3"/>
  <c r="O45" i="3"/>
  <c r="M45" i="3"/>
  <c r="K45" i="3"/>
  <c r="I45" i="3"/>
  <c r="G45" i="3"/>
  <c r="E45" i="3"/>
  <c r="C45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B44" i="3"/>
  <c r="I35" i="3"/>
  <c r="I36" i="3"/>
  <c r="I37" i="3"/>
  <c r="I38" i="3"/>
  <c r="I39" i="3"/>
  <c r="I40" i="3"/>
  <c r="I41" i="3"/>
  <c r="I42" i="3"/>
  <c r="I43" i="3"/>
  <c r="H35" i="3"/>
  <c r="H36" i="3"/>
  <c r="H37" i="3"/>
  <c r="H38" i="3"/>
  <c r="H39" i="3"/>
  <c r="H40" i="3"/>
  <c r="H41" i="3"/>
  <c r="H42" i="3"/>
  <c r="H43" i="3"/>
  <c r="I34" i="3"/>
  <c r="H34" i="3"/>
  <c r="S61" i="6"/>
  <c r="Q61" i="6"/>
  <c r="O61" i="6"/>
  <c r="M61" i="6"/>
  <c r="K61" i="6"/>
  <c r="I61" i="6"/>
  <c r="G61" i="6"/>
  <c r="E61" i="6"/>
  <c r="C61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B60" i="6"/>
  <c r="S45" i="6"/>
  <c r="Q45" i="6"/>
  <c r="O45" i="6"/>
  <c r="M45" i="6"/>
  <c r="K45" i="6"/>
  <c r="I45" i="6"/>
  <c r="G45" i="6"/>
  <c r="E45" i="6"/>
  <c r="C45" i="6"/>
  <c r="S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B44" i="6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B60" i="5"/>
  <c r="M45" i="5"/>
  <c r="G45" i="5"/>
  <c r="C44" i="5"/>
  <c r="C45" i="5" s="1"/>
  <c r="D44" i="5"/>
  <c r="E44" i="5"/>
  <c r="E45" i="5" s="1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B44" i="5"/>
  <c r="S61" i="4"/>
  <c r="Q61" i="4"/>
  <c r="O61" i="4"/>
  <c r="M61" i="4"/>
  <c r="K61" i="4"/>
  <c r="I61" i="4"/>
  <c r="G61" i="4"/>
  <c r="E61" i="4"/>
  <c r="C61" i="4"/>
  <c r="J60" i="4"/>
  <c r="K60" i="4"/>
  <c r="L60" i="4"/>
  <c r="M60" i="4"/>
  <c r="N60" i="4"/>
  <c r="O60" i="4"/>
  <c r="C60" i="4"/>
  <c r="D60" i="4"/>
  <c r="E60" i="4"/>
  <c r="F60" i="4"/>
  <c r="G60" i="4"/>
  <c r="H60" i="4"/>
  <c r="I60" i="4"/>
  <c r="P60" i="4"/>
  <c r="Q60" i="4"/>
  <c r="R60" i="4"/>
  <c r="S60" i="4"/>
  <c r="B60" i="4"/>
  <c r="S45" i="4"/>
  <c r="Q45" i="4"/>
  <c r="O45" i="4"/>
  <c r="M45" i="4"/>
  <c r="K45" i="4"/>
  <c r="I45" i="4"/>
  <c r="G45" i="4"/>
  <c r="E45" i="4"/>
  <c r="C45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B44" i="4"/>
  <c r="S47" i="2"/>
  <c r="Q47" i="2"/>
  <c r="O47" i="2"/>
  <c r="I47" i="2"/>
  <c r="G47" i="2"/>
  <c r="E47" i="2"/>
  <c r="C47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B46" i="2"/>
  <c r="I30" i="11"/>
  <c r="Y29" i="11"/>
  <c r="W29" i="11"/>
  <c r="U29" i="11"/>
  <c r="S29" i="11"/>
  <c r="Q29" i="11"/>
  <c r="O29" i="11"/>
  <c r="M29" i="11"/>
  <c r="K29" i="11"/>
  <c r="I29" i="11"/>
  <c r="G29" i="11"/>
  <c r="E29" i="11"/>
  <c r="C28" i="11"/>
  <c r="C29" i="11" s="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B28" i="11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B29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B13" i="10"/>
  <c r="U29" i="9"/>
  <c r="S29" i="9"/>
  <c r="Q29" i="9"/>
  <c r="O29" i="9"/>
  <c r="M29" i="9"/>
  <c r="K29" i="9"/>
  <c r="I29" i="9"/>
  <c r="E29" i="9"/>
  <c r="C29" i="9"/>
  <c r="U14" i="9"/>
  <c r="S14" i="9"/>
  <c r="Q14" i="9"/>
  <c r="O14" i="9"/>
  <c r="M14" i="9"/>
  <c r="K14" i="9"/>
  <c r="I14" i="9"/>
  <c r="G14" i="9"/>
  <c r="E14" i="9"/>
  <c r="C14" i="9"/>
  <c r="C28" i="9"/>
  <c r="D28" i="9"/>
  <c r="E28" i="9"/>
  <c r="F28" i="9"/>
  <c r="G29" i="9" s="1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B28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B13" i="9"/>
  <c r="D30" i="8"/>
  <c r="AC30" i="8"/>
  <c r="AA30" i="8"/>
  <c r="Y30" i="8"/>
  <c r="W30" i="8"/>
  <c r="U30" i="8"/>
  <c r="S30" i="8"/>
  <c r="Q30" i="8"/>
  <c r="O30" i="8"/>
  <c r="M30" i="8"/>
  <c r="K30" i="8"/>
  <c r="I30" i="8"/>
  <c r="G30" i="8"/>
  <c r="E30" i="8"/>
  <c r="C30" i="8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B29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U29" i="7"/>
  <c r="S29" i="7"/>
  <c r="Q29" i="7"/>
  <c r="O29" i="7"/>
  <c r="M29" i="7"/>
  <c r="K29" i="7"/>
  <c r="I29" i="7"/>
  <c r="G29" i="7"/>
  <c r="E29" i="7"/>
  <c r="C29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B28" i="7"/>
  <c r="S29" i="12"/>
  <c r="Q29" i="12"/>
  <c r="O29" i="12"/>
  <c r="M29" i="12"/>
  <c r="K29" i="12"/>
  <c r="I29" i="12"/>
  <c r="G29" i="12"/>
  <c r="E29" i="12"/>
  <c r="C29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B28" i="12"/>
  <c r="I20" i="3"/>
  <c r="I19" i="3"/>
  <c r="I21" i="3"/>
  <c r="I22" i="3"/>
  <c r="I23" i="3"/>
  <c r="I24" i="3"/>
  <c r="I25" i="3"/>
  <c r="I26" i="3"/>
  <c r="I27" i="3"/>
  <c r="I18" i="3"/>
  <c r="C28" i="3"/>
  <c r="C29" i="3" s="1"/>
  <c r="D28" i="3"/>
  <c r="E28" i="3"/>
  <c r="F28" i="3"/>
  <c r="G28" i="3"/>
  <c r="H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W29" i="3" s="1"/>
  <c r="X28" i="3"/>
  <c r="Y28" i="3"/>
  <c r="B28" i="3"/>
  <c r="H27" i="3"/>
  <c r="H26" i="3"/>
  <c r="H25" i="3"/>
  <c r="H24" i="3"/>
  <c r="H23" i="3"/>
  <c r="H22" i="3"/>
  <c r="H21" i="3"/>
  <c r="H19" i="3"/>
  <c r="H20" i="3"/>
  <c r="H18" i="3"/>
  <c r="C28" i="6"/>
  <c r="D28" i="6"/>
  <c r="E28" i="6"/>
  <c r="E29" i="6" s="1"/>
  <c r="F28" i="6"/>
  <c r="G28" i="6"/>
  <c r="G29" i="6" s="1"/>
  <c r="H28" i="6"/>
  <c r="I28" i="6"/>
  <c r="I29" i="6" s="1"/>
  <c r="J28" i="6"/>
  <c r="K28" i="6"/>
  <c r="K29" i="6" s="1"/>
  <c r="L28" i="6"/>
  <c r="M28" i="6"/>
  <c r="M29" i="6" s="1"/>
  <c r="N28" i="6"/>
  <c r="O28" i="6"/>
  <c r="P28" i="6"/>
  <c r="Q28" i="6"/>
  <c r="Q29" i="6" s="1"/>
  <c r="R28" i="6"/>
  <c r="S28" i="6"/>
  <c r="S29" i="6" s="1"/>
  <c r="B28" i="6"/>
  <c r="I3" i="3"/>
  <c r="I13" i="3" s="1"/>
  <c r="I14" i="3" s="1"/>
  <c r="I4" i="3"/>
  <c r="I5" i="3"/>
  <c r="I6" i="3"/>
  <c r="I7" i="3"/>
  <c r="I8" i="3"/>
  <c r="I9" i="3"/>
  <c r="I10" i="3"/>
  <c r="I11" i="3"/>
  <c r="I12" i="3"/>
  <c r="H4" i="3"/>
  <c r="H5" i="3"/>
  <c r="H6" i="3"/>
  <c r="H7" i="3"/>
  <c r="H8" i="3"/>
  <c r="H9" i="3"/>
  <c r="H10" i="3"/>
  <c r="H11" i="3"/>
  <c r="H12" i="3"/>
  <c r="H3" i="3"/>
  <c r="H13" i="3" s="1"/>
  <c r="C28" i="5"/>
  <c r="D28" i="5"/>
  <c r="E28" i="5"/>
  <c r="F28" i="5"/>
  <c r="G28" i="5"/>
  <c r="H28" i="5"/>
  <c r="I28" i="5"/>
  <c r="J28" i="5"/>
  <c r="K28" i="5"/>
  <c r="L28" i="5"/>
  <c r="M28" i="5"/>
  <c r="M29" i="5" s="1"/>
  <c r="N28" i="5"/>
  <c r="O28" i="5"/>
  <c r="P28" i="5"/>
  <c r="Q28" i="5"/>
  <c r="R28" i="5"/>
  <c r="S28" i="5"/>
  <c r="B28" i="5"/>
  <c r="I15" i="2"/>
  <c r="I13" i="4"/>
  <c r="W14" i="12"/>
  <c r="U14" i="12"/>
  <c r="S14" i="12"/>
  <c r="Q14" i="12"/>
  <c r="O14" i="12"/>
  <c r="M14" i="12"/>
  <c r="K14" i="12"/>
  <c r="I14" i="12"/>
  <c r="G14" i="12"/>
  <c r="E14" i="12"/>
  <c r="C14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B13" i="12"/>
  <c r="G13" i="4"/>
  <c r="G14" i="4" s="1"/>
  <c r="S13" i="4"/>
  <c r="Q13" i="4"/>
  <c r="O13" i="4"/>
  <c r="O14" i="4" s="1"/>
  <c r="E13" i="4"/>
  <c r="G15" i="2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B28" i="4"/>
  <c r="C13" i="11"/>
  <c r="C14" i="11" s="1"/>
  <c r="D13" i="11"/>
  <c r="E13" i="11"/>
  <c r="F13" i="11"/>
  <c r="G14" i="11" s="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S14" i="11" s="1"/>
  <c r="T13" i="11"/>
  <c r="U13" i="11"/>
  <c r="V13" i="11"/>
  <c r="W13" i="11"/>
  <c r="X13" i="11"/>
  <c r="Y13" i="11"/>
  <c r="B13" i="11"/>
  <c r="B13" i="8"/>
  <c r="C14" i="8" s="1"/>
  <c r="O14" i="7"/>
  <c r="C13" i="7"/>
  <c r="C14" i="7" s="1"/>
  <c r="D13" i="7"/>
  <c r="E13" i="7"/>
  <c r="E14" i="7" s="1"/>
  <c r="F13" i="7"/>
  <c r="G13" i="7"/>
  <c r="G14" i="7" s="1"/>
  <c r="H13" i="7"/>
  <c r="I13" i="7"/>
  <c r="I14" i="7" s="1"/>
  <c r="J13" i="7"/>
  <c r="K13" i="7"/>
  <c r="K14" i="7" s="1"/>
  <c r="L13" i="7"/>
  <c r="M13" i="7"/>
  <c r="M14" i="7" s="1"/>
  <c r="N13" i="7"/>
  <c r="O13" i="7"/>
  <c r="P13" i="7"/>
  <c r="Q13" i="7"/>
  <c r="Q14" i="7" s="1"/>
  <c r="R13" i="7"/>
  <c r="S13" i="7"/>
  <c r="S14" i="7" s="1"/>
  <c r="T13" i="7"/>
  <c r="U13" i="7"/>
  <c r="U14" i="7" s="1"/>
  <c r="B13" i="7"/>
  <c r="C13" i="3"/>
  <c r="D13" i="3"/>
  <c r="E13" i="3"/>
  <c r="F13" i="3"/>
  <c r="G13" i="3"/>
  <c r="G14" i="3" s="1"/>
  <c r="J13" i="3"/>
  <c r="K13" i="3"/>
  <c r="L13" i="3"/>
  <c r="M13" i="3"/>
  <c r="N13" i="3"/>
  <c r="O13" i="3"/>
  <c r="P13" i="3"/>
  <c r="Q13" i="3"/>
  <c r="Q14" i="3" s="1"/>
  <c r="R13" i="3"/>
  <c r="S13" i="3"/>
  <c r="S14" i="3" s="1"/>
  <c r="T13" i="3"/>
  <c r="U13" i="3"/>
  <c r="U14" i="3" s="1"/>
  <c r="V13" i="3"/>
  <c r="W13" i="3"/>
  <c r="X13" i="3"/>
  <c r="Y13" i="3"/>
  <c r="Y14" i="3" s="1"/>
  <c r="B13" i="3"/>
  <c r="C13" i="6"/>
  <c r="C14" i="6" s="1"/>
  <c r="D13" i="6"/>
  <c r="E13" i="6"/>
  <c r="F13" i="6"/>
  <c r="G13" i="6"/>
  <c r="H13" i="6"/>
  <c r="I13" i="6"/>
  <c r="I14" i="6" s="1"/>
  <c r="J13" i="6"/>
  <c r="K13" i="6"/>
  <c r="K14" i="6" s="1"/>
  <c r="L13" i="6"/>
  <c r="M14" i="6" s="1"/>
  <c r="M13" i="6"/>
  <c r="N13" i="6"/>
  <c r="O13" i="6"/>
  <c r="O14" i="6" s="1"/>
  <c r="P13" i="6"/>
  <c r="Q13" i="6"/>
  <c r="Q14" i="6" s="1"/>
  <c r="R13" i="6"/>
  <c r="S13" i="6"/>
  <c r="S14" i="6" s="1"/>
  <c r="B13" i="6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B13" i="5"/>
  <c r="C13" i="4"/>
  <c r="D13" i="4"/>
  <c r="F13" i="4"/>
  <c r="H13" i="4"/>
  <c r="J13" i="4"/>
  <c r="K13" i="4"/>
  <c r="K14" i="4" s="1"/>
  <c r="L13" i="4"/>
  <c r="M13" i="4"/>
  <c r="M14" i="4" s="1"/>
  <c r="N13" i="4"/>
  <c r="P13" i="4"/>
  <c r="R13" i="4"/>
  <c r="B13" i="4"/>
  <c r="C15" i="2"/>
  <c r="D15" i="2"/>
  <c r="E15" i="2"/>
  <c r="F15" i="2"/>
  <c r="H15" i="2"/>
  <c r="J15" i="2"/>
  <c r="K15" i="2"/>
  <c r="K16" i="2" s="1"/>
  <c r="L15" i="2"/>
  <c r="M15" i="2"/>
  <c r="M16" i="2" s="1"/>
  <c r="N15" i="2"/>
  <c r="O15" i="2"/>
  <c r="P15" i="2"/>
  <c r="Q15" i="2"/>
  <c r="Q16" i="2" s="1"/>
  <c r="R15" i="2"/>
  <c r="S15" i="2"/>
  <c r="S16" i="2" s="1"/>
  <c r="B15" i="2"/>
  <c r="C30" i="2"/>
  <c r="D30" i="2"/>
  <c r="E30" i="2"/>
  <c r="E31" i="2" s="1"/>
  <c r="F30" i="2"/>
  <c r="G30" i="2"/>
  <c r="G31" i="2" s="1"/>
  <c r="H30" i="2"/>
  <c r="I30" i="2"/>
  <c r="I31" i="2" s="1"/>
  <c r="J30" i="2"/>
  <c r="K30" i="2"/>
  <c r="K31" i="2" s="1"/>
  <c r="L30" i="2"/>
  <c r="M30" i="2"/>
  <c r="M31" i="2" s="1"/>
  <c r="N30" i="2"/>
  <c r="O30" i="2"/>
  <c r="P30" i="2"/>
  <c r="Q30" i="2"/>
  <c r="R30" i="2"/>
  <c r="S30" i="2"/>
  <c r="B30" i="2"/>
  <c r="Y30" i="10" l="1"/>
  <c r="G30" i="10"/>
  <c r="S30" i="10"/>
  <c r="I30" i="10"/>
  <c r="AG30" i="10"/>
  <c r="Q30" i="10"/>
  <c r="AA30" i="10"/>
  <c r="AE30" i="10"/>
  <c r="O30" i="10"/>
  <c r="E30" i="10"/>
  <c r="AC14" i="10"/>
  <c r="AC30" i="10"/>
  <c r="M30" i="10"/>
  <c r="U30" i="10"/>
  <c r="K30" i="10"/>
  <c r="K31" i="10" s="1"/>
  <c r="W30" i="10"/>
  <c r="C30" i="10"/>
  <c r="O103" i="3"/>
  <c r="W103" i="3"/>
  <c r="G103" i="3"/>
  <c r="K45" i="5"/>
  <c r="G29" i="5"/>
  <c r="K14" i="5"/>
  <c r="O45" i="5"/>
  <c r="S61" i="5"/>
  <c r="E14" i="5"/>
  <c r="I45" i="5"/>
  <c r="M61" i="5"/>
  <c r="C75" i="5"/>
  <c r="C61" i="5"/>
  <c r="I14" i="5"/>
  <c r="Q61" i="5"/>
  <c r="I29" i="5"/>
  <c r="O61" i="5"/>
  <c r="K61" i="5"/>
  <c r="S45" i="5"/>
  <c r="K29" i="5"/>
  <c r="S14" i="5"/>
  <c r="Q14" i="5"/>
  <c r="O14" i="5"/>
  <c r="M14" i="5"/>
  <c r="Q29" i="5"/>
  <c r="I61" i="5"/>
  <c r="Q45" i="5"/>
  <c r="G61" i="5"/>
  <c r="E61" i="5"/>
  <c r="O29" i="5"/>
  <c r="E29" i="5"/>
  <c r="S29" i="5"/>
  <c r="C29" i="5"/>
  <c r="E103" i="2"/>
  <c r="C29" i="6"/>
  <c r="O29" i="6"/>
  <c r="M14" i="11"/>
  <c r="K14" i="11"/>
  <c r="Q14" i="11"/>
  <c r="O14" i="11"/>
  <c r="Y14" i="11"/>
  <c r="I14" i="11"/>
  <c r="I15" i="11" s="1"/>
  <c r="W14" i="11"/>
  <c r="U14" i="11"/>
  <c r="E14" i="11"/>
  <c r="AE14" i="10"/>
  <c r="Y14" i="10"/>
  <c r="I14" i="10"/>
  <c r="U14" i="10"/>
  <c r="E14" i="10"/>
  <c r="C14" i="10"/>
  <c r="M14" i="10"/>
  <c r="AA14" i="10"/>
  <c r="O14" i="10"/>
  <c r="W14" i="10"/>
  <c r="Q14" i="10"/>
  <c r="AG14" i="10"/>
  <c r="G14" i="10"/>
  <c r="S14" i="10"/>
  <c r="K14" i="10"/>
  <c r="C29" i="4"/>
  <c r="I14" i="4"/>
  <c r="C14" i="4"/>
  <c r="E14" i="4"/>
  <c r="Q14" i="4"/>
  <c r="S14" i="4"/>
  <c r="O31" i="2"/>
  <c r="S31" i="2"/>
  <c r="I16" i="2"/>
  <c r="O16" i="2"/>
  <c r="U14" i="8"/>
  <c r="Y14" i="8"/>
  <c r="S14" i="8"/>
  <c r="AA14" i="8"/>
  <c r="W14" i="8"/>
  <c r="Q14" i="8"/>
  <c r="M14" i="8"/>
  <c r="O14" i="8"/>
  <c r="G14" i="8"/>
  <c r="K14" i="8"/>
  <c r="I14" i="8"/>
  <c r="E14" i="8"/>
  <c r="D14" i="8" s="1"/>
  <c r="AC14" i="8"/>
  <c r="S29" i="3"/>
  <c r="M29" i="3"/>
  <c r="Q29" i="3"/>
  <c r="K29" i="3"/>
  <c r="U29" i="3"/>
  <c r="O29" i="3"/>
  <c r="E29" i="3"/>
  <c r="Y29" i="3"/>
  <c r="G29" i="3"/>
  <c r="I28" i="3"/>
  <c r="I29" i="3" s="1"/>
  <c r="O14" i="3"/>
  <c r="M14" i="3"/>
  <c r="K14" i="3"/>
  <c r="W14" i="3"/>
  <c r="E14" i="3"/>
  <c r="C14" i="3"/>
  <c r="C14" i="5"/>
  <c r="G14" i="5"/>
  <c r="G16" i="2"/>
  <c r="E16" i="2"/>
  <c r="C16" i="2"/>
  <c r="G14" i="6"/>
  <c r="E14" i="6"/>
  <c r="O29" i="4"/>
  <c r="M29" i="4"/>
  <c r="G29" i="4"/>
  <c r="K29" i="4"/>
  <c r="I29" i="4"/>
  <c r="E29" i="4"/>
  <c r="S29" i="4"/>
  <c r="Q29" i="4"/>
  <c r="Q31" i="2"/>
  <c r="C31" i="2"/>
  <c r="G31" i="10" l="1"/>
  <c r="C31" i="10"/>
  <c r="K15" i="10"/>
  <c r="C15" i="10"/>
  <c r="G15" i="10"/>
</calcChain>
</file>

<file path=xl/sharedStrings.xml><?xml version="1.0" encoding="utf-8"?>
<sst xmlns="http://schemas.openxmlformats.org/spreadsheetml/2006/main" count="2148" uniqueCount="131">
  <si>
    <t>vm</t>
  </si>
  <si>
    <t>td-sgx</t>
  </si>
  <si>
    <t>Cxx11SGXDemo</t>
  </si>
  <si>
    <t>real</t>
  </si>
  <si>
    <t>user</t>
  </si>
  <si>
    <t>0m0.017s</t>
  </si>
  <si>
    <t>sys</t>
  </si>
  <si>
    <t>Cxx14SGXDemo</t>
  </si>
  <si>
    <t>0m0.045s</t>
  </si>
  <si>
    <t>0m0.005s</t>
  </si>
  <si>
    <t>Cxx17SGXDemo</t>
  </si>
  <si>
    <t>0m0.002s</t>
  </si>
  <si>
    <t>0m0.031s</t>
  </si>
  <si>
    <t>ProtobufSGXDemo</t>
  </si>
  <si>
    <t>SampleAEXNotify</t>
  </si>
  <si>
    <t>Error: Enclave was not authorized.</t>
  </si>
  <si>
    <t>LocalAttestation</t>
  </si>
  <si>
    <t>0m0.038s</t>
  </si>
  <si>
    <t>0m0.032s</t>
  </si>
  <si>
    <t>PowerTransition</t>
  </si>
  <si>
    <t>Build:Key file format is not correct.</t>
  </si>
  <si>
    <t>Failed to connect to socket</t>
  </si>
  <si>
    <t>RemoteAttestation</t>
  </si>
  <si>
    <t>SampleAttestedTLS</t>
  </si>
  <si>
    <t>Build: fatal error: openssl/ssl.h: No such file or directory</t>
  </si>
  <si>
    <t>Build: fatal error: sgx_enclave_common.h: No such file or directory</t>
  </si>
  <si>
    <t>SampleCommonLoader</t>
  </si>
  <si>
    <t>0m0.144s</t>
  </si>
  <si>
    <t>0m0.024s</t>
  </si>
  <si>
    <t>SampleEnclave</t>
  </si>
  <si>
    <t>Must press a key to exit</t>
  </si>
  <si>
    <t>Notes</t>
  </si>
  <si>
    <t>SampleEnclaveGMIPP</t>
  </si>
  <si>
    <t>0m0.020s</t>
  </si>
  <si>
    <t>SampleEnclavePCL</t>
  </si>
  <si>
    <t>0m0.036s</t>
  </si>
  <si>
    <t>0m0.004s</t>
  </si>
  <si>
    <t>SealUnseal</t>
  </si>
  <si>
    <t>Switchless</t>
  </si>
  <si>
    <t>0m0.042s</t>
  </si>
  <si>
    <t>failed to establish secure channel: ECALL return 0x0, error code is 0xe4.</t>
  </si>
  <si>
    <t>Build: Key file format is not correct.</t>
  </si>
  <si>
    <t>0m0.037s</t>
  </si>
  <si>
    <t>6m31.050s</t>
  </si>
  <si>
    <t>5m17.296s</t>
  </si>
  <si>
    <t>0m30.709s</t>
  </si>
  <si>
    <t>0m0.012s</t>
  </si>
  <si>
    <t>0m0.026s</t>
  </si>
  <si>
    <t>0m0.028s</t>
  </si>
  <si>
    <t>0m0.007s</t>
  </si>
  <si>
    <t>0m0.030s</t>
  </si>
  <si>
    <t>0m0.140s</t>
  </si>
  <si>
    <t>0m0.001s</t>
  </si>
  <si>
    <t>5m8.462s</t>
  </si>
  <si>
    <t>4m49.602s</t>
  </si>
  <si>
    <t>0m11.018s</t>
  </si>
  <si>
    <t>0m0.065s</t>
  </si>
  <si>
    <t>0m0.015s</t>
  </si>
  <si>
    <t>0m0.049s</t>
  </si>
  <si>
    <t>0m0.059s</t>
  </si>
  <si>
    <t>0m0.006s</t>
  </si>
  <si>
    <t>0m0.044s</t>
  </si>
  <si>
    <t>0m0.078s</t>
  </si>
  <si>
    <t>0m0.066s</t>
  </si>
  <si>
    <t>0m0.010s</t>
  </si>
  <si>
    <t>0m0.055s</t>
  </si>
  <si>
    <t>5m40.703s</t>
  </si>
  <si>
    <t>5m38.400s</t>
  </si>
  <si>
    <t>0m0.124s</t>
  </si>
  <si>
    <t>0m0.052s</t>
  </si>
  <si>
    <t>0m0.047s</t>
  </si>
  <si>
    <t>0m0.127s</t>
  </si>
  <si>
    <t>0m0.121s</t>
  </si>
  <si>
    <t>0m0.064s</t>
  </si>
  <si>
    <t>0m0.069s</t>
  </si>
  <si>
    <t>0m0.008s</t>
  </si>
  <si>
    <t>soft lockups</t>
  </si>
  <si>
    <t>Message from syslogd@emr-bkc at Sep  7 20:29:20 ...</t>
  </si>
  <si>
    <t xml:space="preserve"> kernel:watchdog: BUG: soft lockup - CPU#22 stuck for 492s! [worker:4515]</t>
  </si>
  <si>
    <t>sampleenclave</t>
  </si>
  <si>
    <t>init</t>
  </si>
  <si>
    <t>VM</t>
  </si>
  <si>
    <t>TD</t>
  </si>
  <si>
    <t>ecall</t>
  </si>
  <si>
    <t>destroy</t>
  </si>
  <si>
    <t>task-clock</t>
  </si>
  <si>
    <t>context-switches</t>
  </si>
  <si>
    <t>PFs</t>
  </si>
  <si>
    <t>time</t>
  </si>
  <si>
    <t>create</t>
  </si>
  <si>
    <t>add</t>
  </si>
  <si>
    <t>context switches</t>
  </si>
  <si>
    <t>edger8r</t>
  </si>
  <si>
    <t>ecall 1</t>
  </si>
  <si>
    <t>ecall 2</t>
  </si>
  <si>
    <t>ecall 3</t>
  </si>
  <si>
    <t>ecall 4</t>
  </si>
  <si>
    <t>ecall 5</t>
  </si>
  <si>
    <t>ecall 6</t>
  </si>
  <si>
    <t>size</t>
  </si>
  <si>
    <t>seal</t>
  </si>
  <si>
    <t>write</t>
  </si>
  <si>
    <t>read</t>
  </si>
  <si>
    <t>unseal</t>
  </si>
  <si>
    <t>ocall 1</t>
  </si>
  <si>
    <t>ocall 0</t>
  </si>
  <si>
    <t>ecall 0</t>
  </si>
  <si>
    <t>SIM</t>
  </si>
  <si>
    <t>open</t>
  </si>
  <si>
    <t>close</t>
  </si>
  <si>
    <t>NonEnclave</t>
  </si>
  <si>
    <t>HW</t>
  </si>
  <si>
    <t>build</t>
  </si>
  <si>
    <t>noio</t>
  </si>
  <si>
    <t>1CPU 10times</t>
  </si>
  <si>
    <t>2CPUs 10times</t>
  </si>
  <si>
    <t>warmupTD.txt:init</t>
  </si>
  <si>
    <t>enclave</t>
  </si>
  <si>
    <t>wipes 3-16</t>
  </si>
  <si>
    <t>wipes</t>
  </si>
  <si>
    <t>wipes 2-4</t>
  </si>
  <si>
    <t>wpies</t>
  </si>
  <si>
    <t>wipes 3-5</t>
  </si>
  <si>
    <t>wipes 3-6</t>
  </si>
  <si>
    <t>13-54</t>
  </si>
  <si>
    <t>10x2</t>
  </si>
  <si>
    <t>1x2</t>
  </si>
  <si>
    <t>46-117</t>
  </si>
  <si>
    <t>2CPUs</t>
  </si>
  <si>
    <t>(un)seal</t>
  </si>
  <si>
    <t>rw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</si>
</sst>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1" fontId="0" fillId="0" borderId="0" xfId="0" applyNumberFormat="1"/>
    <xf numFmtId="2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7521-C795-4009-BBE2-E87FF55B59AC}">
  <dimension ref="A1:W29"/>
  <sheetViews>
    <sheetView workbookViewId="0">
      <selection activeCell="A16" sqref="A16"/>
    </sheetView>
  </sheetViews>
  <sheetFormatPr defaultRowHeight="15" x14ac:dyDescent="0.25"/>
  <cols>
    <col min="2" max="3" width="11.7109375" bestFit="1" customWidth="1"/>
  </cols>
  <sheetData>
    <row r="1" spans="1:23" x14ac:dyDescent="0.25">
      <c r="A1" t="s">
        <v>110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  <c r="T1" t="s">
        <v>81</v>
      </c>
      <c r="U1" t="s">
        <v>82</v>
      </c>
      <c r="V1" t="s">
        <v>81</v>
      </c>
      <c r="W1" t="s">
        <v>82</v>
      </c>
    </row>
    <row r="2" spans="1:23" x14ac:dyDescent="0.25">
      <c r="B2" t="s">
        <v>89</v>
      </c>
      <c r="C2" t="s">
        <v>89</v>
      </c>
      <c r="D2" t="s">
        <v>90</v>
      </c>
      <c r="E2" t="s">
        <v>90</v>
      </c>
      <c r="F2" t="s">
        <v>80</v>
      </c>
      <c r="G2" t="s">
        <v>80</v>
      </c>
      <c r="H2" t="s">
        <v>108</v>
      </c>
      <c r="I2" t="s">
        <v>108</v>
      </c>
      <c r="J2" t="s">
        <v>83</v>
      </c>
      <c r="K2" t="s">
        <v>83</v>
      </c>
      <c r="L2" t="s">
        <v>84</v>
      </c>
      <c r="M2" t="s">
        <v>84</v>
      </c>
      <c r="N2" t="s">
        <v>109</v>
      </c>
      <c r="O2" t="s">
        <v>109</v>
      </c>
      <c r="P2" t="s">
        <v>85</v>
      </c>
      <c r="Q2" t="s">
        <v>85</v>
      </c>
      <c r="R2" t="s">
        <v>88</v>
      </c>
      <c r="S2" t="s">
        <v>88</v>
      </c>
      <c r="T2" t="s">
        <v>4</v>
      </c>
      <c r="U2" t="s">
        <v>4</v>
      </c>
      <c r="V2" t="s">
        <v>6</v>
      </c>
      <c r="W2" t="s">
        <v>6</v>
      </c>
    </row>
    <row r="3" spans="1:23" x14ac:dyDescent="0.25">
      <c r="B3">
        <v>8590</v>
      </c>
      <c r="C3">
        <v>3624</v>
      </c>
      <c r="D3">
        <v>112</v>
      </c>
      <c r="E3">
        <v>128</v>
      </c>
      <c r="F3">
        <v>428</v>
      </c>
      <c r="G3">
        <v>362</v>
      </c>
      <c r="H3">
        <v>67738</v>
      </c>
      <c r="I3">
        <v>74976</v>
      </c>
      <c r="J3">
        <v>5430610</v>
      </c>
      <c r="K3">
        <v>5792800</v>
      </c>
      <c r="L3">
        <v>90</v>
      </c>
      <c r="M3">
        <v>108</v>
      </c>
      <c r="N3">
        <v>54188</v>
      </c>
      <c r="O3">
        <v>76418</v>
      </c>
      <c r="P3">
        <v>3.63</v>
      </c>
      <c r="Q3">
        <v>4.01</v>
      </c>
      <c r="R3">
        <v>3.7785700000000002E-3</v>
      </c>
      <c r="S3">
        <v>4.1742439999999997E-3</v>
      </c>
      <c r="T3">
        <v>1.2600000000000001E-3</v>
      </c>
      <c r="U3">
        <v>8.3000000000000001E-4</v>
      </c>
      <c r="V3">
        <v>2.5110000000000002E-3</v>
      </c>
      <c r="W3">
        <v>3.3240000000000001E-3</v>
      </c>
    </row>
    <row r="4" spans="1:23" x14ac:dyDescent="0.25">
      <c r="B4">
        <v>4098</v>
      </c>
      <c r="C4">
        <v>4318</v>
      </c>
      <c r="D4">
        <v>132</v>
      </c>
      <c r="E4">
        <v>118</v>
      </c>
      <c r="F4">
        <v>414</v>
      </c>
      <c r="G4">
        <v>340</v>
      </c>
      <c r="H4">
        <v>61740</v>
      </c>
      <c r="I4">
        <v>68462</v>
      </c>
      <c r="J4">
        <v>5425572</v>
      </c>
      <c r="K4">
        <v>5866178</v>
      </c>
      <c r="L4">
        <v>88</v>
      </c>
      <c r="M4">
        <v>90</v>
      </c>
      <c r="N4">
        <v>53912</v>
      </c>
      <c r="O4">
        <v>73198</v>
      </c>
      <c r="P4">
        <v>3.61</v>
      </c>
      <c r="Q4">
        <v>3.99</v>
      </c>
      <c r="R4">
        <v>3.7617229999999998E-3</v>
      </c>
      <c r="S4">
        <v>4.1493659999999998E-3</v>
      </c>
      <c r="T4">
        <v>0</v>
      </c>
      <c r="U4">
        <v>1.029E-3</v>
      </c>
      <c r="V4">
        <v>3.7559999999999998E-3</v>
      </c>
      <c r="W4">
        <v>3.0730000000000002E-3</v>
      </c>
    </row>
    <row r="5" spans="1:23" x14ac:dyDescent="0.25">
      <c r="B5">
        <v>4060</v>
      </c>
      <c r="C5">
        <v>4208</v>
      </c>
      <c r="D5">
        <v>108</v>
      </c>
      <c r="E5">
        <v>126</v>
      </c>
      <c r="F5">
        <v>1220</v>
      </c>
      <c r="G5">
        <v>386</v>
      </c>
      <c r="H5">
        <v>65050</v>
      </c>
      <c r="I5">
        <v>72542</v>
      </c>
      <c r="J5">
        <v>5315562</v>
      </c>
      <c r="K5">
        <v>5768764</v>
      </c>
      <c r="L5">
        <v>88</v>
      </c>
      <c r="M5">
        <v>88</v>
      </c>
      <c r="N5">
        <v>54076</v>
      </c>
      <c r="O5">
        <v>72264</v>
      </c>
      <c r="P5">
        <v>3.57</v>
      </c>
      <c r="Q5">
        <v>3.96</v>
      </c>
      <c r="R5">
        <v>3.7246610000000002E-3</v>
      </c>
      <c r="S5">
        <v>4.1167399999999998E-3</v>
      </c>
      <c r="T5">
        <v>0</v>
      </c>
      <c r="U5">
        <v>1.021E-3</v>
      </c>
      <c r="V5">
        <v>3.715E-3</v>
      </c>
      <c r="W5">
        <v>3.0620000000000001E-3</v>
      </c>
    </row>
    <row r="6" spans="1:23" x14ac:dyDescent="0.25">
      <c r="B6">
        <v>5138</v>
      </c>
      <c r="C6">
        <v>6690</v>
      </c>
      <c r="D6">
        <v>106</v>
      </c>
      <c r="E6">
        <v>118</v>
      </c>
      <c r="F6">
        <v>416</v>
      </c>
      <c r="G6">
        <v>412</v>
      </c>
      <c r="H6">
        <v>62840</v>
      </c>
      <c r="I6">
        <v>66432</v>
      </c>
      <c r="J6">
        <v>5367392</v>
      </c>
      <c r="K6">
        <v>5891942</v>
      </c>
      <c r="L6">
        <v>88</v>
      </c>
      <c r="M6">
        <v>90</v>
      </c>
      <c r="N6">
        <v>53900</v>
      </c>
      <c r="O6">
        <v>71098</v>
      </c>
      <c r="P6">
        <v>3.59</v>
      </c>
      <c r="Q6">
        <v>4</v>
      </c>
      <c r="R6">
        <v>3.7367749999999999E-3</v>
      </c>
      <c r="S6">
        <v>4.1626399999999996E-3</v>
      </c>
      <c r="T6">
        <v>0</v>
      </c>
      <c r="U6">
        <v>0</v>
      </c>
      <c r="V6">
        <v>3.7299999999999998E-3</v>
      </c>
      <c r="W6">
        <v>4.1149999999999997E-3</v>
      </c>
    </row>
    <row r="7" spans="1:23" x14ac:dyDescent="0.25">
      <c r="B7">
        <v>4146</v>
      </c>
      <c r="C7">
        <v>3886</v>
      </c>
      <c r="D7">
        <v>108</v>
      </c>
      <c r="E7">
        <v>130</v>
      </c>
      <c r="F7">
        <v>432</v>
      </c>
      <c r="G7">
        <v>382</v>
      </c>
      <c r="H7">
        <v>62546</v>
      </c>
      <c r="I7">
        <v>69020</v>
      </c>
      <c r="J7">
        <v>5373000</v>
      </c>
      <c r="K7">
        <v>5751858</v>
      </c>
      <c r="L7">
        <v>90</v>
      </c>
      <c r="M7">
        <v>90</v>
      </c>
      <c r="N7">
        <v>54290</v>
      </c>
      <c r="O7">
        <v>73046</v>
      </c>
      <c r="P7">
        <v>3.6</v>
      </c>
      <c r="Q7">
        <v>3.96</v>
      </c>
      <c r="R7">
        <v>3.7480619999999999E-3</v>
      </c>
      <c r="S7">
        <v>4.1087750000000003E-3</v>
      </c>
      <c r="T7">
        <v>0</v>
      </c>
      <c r="U7">
        <v>1.021E-3</v>
      </c>
      <c r="V7">
        <v>3.741E-3</v>
      </c>
      <c r="W7">
        <v>3.055E-3</v>
      </c>
    </row>
    <row r="8" spans="1:23" x14ac:dyDescent="0.25">
      <c r="B8">
        <v>5250</v>
      </c>
      <c r="C8">
        <v>3752</v>
      </c>
      <c r="D8">
        <v>128</v>
      </c>
      <c r="E8">
        <v>146</v>
      </c>
      <c r="F8">
        <v>430</v>
      </c>
      <c r="G8">
        <v>364</v>
      </c>
      <c r="H8">
        <v>67326</v>
      </c>
      <c r="I8">
        <v>66922</v>
      </c>
      <c r="J8">
        <v>5373038</v>
      </c>
      <c r="K8">
        <v>5871404</v>
      </c>
      <c r="L8">
        <v>88</v>
      </c>
      <c r="M8">
        <v>88</v>
      </c>
      <c r="N8">
        <v>53792</v>
      </c>
      <c r="O8">
        <v>72620</v>
      </c>
      <c r="P8">
        <v>3.6</v>
      </c>
      <c r="Q8">
        <v>3.98</v>
      </c>
      <c r="R8">
        <v>3.747883E-3</v>
      </c>
      <c r="S8">
        <v>4.1421239999999996E-3</v>
      </c>
      <c r="T8">
        <v>1.2489999999999999E-3</v>
      </c>
      <c r="U8">
        <v>1.023E-3</v>
      </c>
      <c r="V8">
        <v>2.4919999999999999E-3</v>
      </c>
      <c r="W8">
        <v>3.0669999999999998E-3</v>
      </c>
    </row>
    <row r="9" spans="1:23" x14ac:dyDescent="0.25">
      <c r="B9">
        <v>5434</v>
      </c>
      <c r="C9">
        <v>3914</v>
      </c>
      <c r="D9">
        <v>106</v>
      </c>
      <c r="E9">
        <v>118</v>
      </c>
      <c r="F9">
        <v>462</v>
      </c>
      <c r="G9">
        <v>412</v>
      </c>
      <c r="H9">
        <v>63802</v>
      </c>
      <c r="I9">
        <v>986434</v>
      </c>
      <c r="J9">
        <v>5358352</v>
      </c>
      <c r="K9">
        <v>5848752</v>
      </c>
      <c r="L9">
        <v>88</v>
      </c>
      <c r="M9">
        <v>88</v>
      </c>
      <c r="N9">
        <v>54602</v>
      </c>
      <c r="O9">
        <v>52782</v>
      </c>
      <c r="P9">
        <v>3.6</v>
      </c>
      <c r="Q9">
        <v>4</v>
      </c>
      <c r="R9">
        <v>3.7470730000000001E-3</v>
      </c>
      <c r="S9">
        <v>4.6038140000000003E-3</v>
      </c>
      <c r="T9">
        <v>1.242E-3</v>
      </c>
      <c r="U9">
        <v>0</v>
      </c>
      <c r="V9">
        <v>2.4989999999999999E-3</v>
      </c>
      <c r="W9">
        <v>4.1229999999999999E-3</v>
      </c>
    </row>
    <row r="10" spans="1:23" x14ac:dyDescent="0.25">
      <c r="B10">
        <v>8978</v>
      </c>
      <c r="C10">
        <v>3634</v>
      </c>
      <c r="D10">
        <v>108</v>
      </c>
      <c r="E10">
        <v>108</v>
      </c>
      <c r="F10">
        <v>430</v>
      </c>
      <c r="G10">
        <v>332</v>
      </c>
      <c r="H10">
        <v>64032</v>
      </c>
      <c r="I10">
        <v>152266</v>
      </c>
      <c r="J10">
        <v>5379794</v>
      </c>
      <c r="K10">
        <v>5739710</v>
      </c>
      <c r="L10">
        <v>86</v>
      </c>
      <c r="M10">
        <v>94</v>
      </c>
      <c r="N10">
        <v>53978</v>
      </c>
      <c r="O10">
        <v>76006</v>
      </c>
      <c r="P10">
        <v>3.6</v>
      </c>
      <c r="Q10">
        <v>3.95</v>
      </c>
      <c r="R10">
        <v>3.7494939999999999E-3</v>
      </c>
      <c r="S10">
        <v>4.144582E-3</v>
      </c>
      <c r="T10">
        <v>0</v>
      </c>
      <c r="U10">
        <v>0</v>
      </c>
      <c r="V10">
        <v>3.7420000000000001E-3</v>
      </c>
      <c r="W10">
        <v>4.0790000000000002E-3</v>
      </c>
    </row>
    <row r="11" spans="1:23" x14ac:dyDescent="0.25">
      <c r="B11">
        <v>8862</v>
      </c>
      <c r="C11">
        <v>7110</v>
      </c>
      <c r="D11">
        <v>118</v>
      </c>
      <c r="E11">
        <v>112</v>
      </c>
      <c r="F11">
        <v>418</v>
      </c>
      <c r="G11">
        <v>360</v>
      </c>
      <c r="H11">
        <v>63918</v>
      </c>
      <c r="I11">
        <v>69812</v>
      </c>
      <c r="J11">
        <v>5393140</v>
      </c>
      <c r="K11">
        <v>5785740</v>
      </c>
      <c r="L11">
        <v>102</v>
      </c>
      <c r="M11">
        <v>94</v>
      </c>
      <c r="N11">
        <v>53010</v>
      </c>
      <c r="O11">
        <v>72794</v>
      </c>
      <c r="P11">
        <v>3.6</v>
      </c>
      <c r="Q11">
        <v>3.96</v>
      </c>
      <c r="R11">
        <v>3.7509940000000001E-3</v>
      </c>
      <c r="S11">
        <v>4.1123399999999999E-3</v>
      </c>
      <c r="T11">
        <v>0</v>
      </c>
      <c r="U11">
        <v>2.0370000000000002E-3</v>
      </c>
      <c r="V11">
        <v>3.7429999999999998E-3</v>
      </c>
      <c r="W11">
        <v>2.0439999999999998E-3</v>
      </c>
    </row>
    <row r="12" spans="1:23" x14ac:dyDescent="0.25">
      <c r="B12">
        <v>4982</v>
      </c>
      <c r="C12">
        <v>3762</v>
      </c>
      <c r="D12">
        <v>128</v>
      </c>
      <c r="E12">
        <v>130</v>
      </c>
      <c r="F12">
        <v>404</v>
      </c>
      <c r="G12">
        <v>368</v>
      </c>
      <c r="H12">
        <v>61730</v>
      </c>
      <c r="I12">
        <v>67990</v>
      </c>
      <c r="J12">
        <v>5385534</v>
      </c>
      <c r="K12">
        <v>5753272</v>
      </c>
      <c r="L12">
        <v>88</v>
      </c>
      <c r="M12">
        <v>92</v>
      </c>
      <c r="N12">
        <v>53738</v>
      </c>
      <c r="O12">
        <v>71624</v>
      </c>
      <c r="P12">
        <v>3.61</v>
      </c>
      <c r="Q12">
        <v>3.95</v>
      </c>
      <c r="R12">
        <v>3.7581089999999999E-3</v>
      </c>
      <c r="S12">
        <v>4.1079059999999997E-3</v>
      </c>
      <c r="T12">
        <v>1.2459999999999999E-3</v>
      </c>
      <c r="U12">
        <v>1.0139999999999999E-3</v>
      </c>
      <c r="V12">
        <v>2.5049999999999998E-3</v>
      </c>
      <c r="W12">
        <v>3.0490000000000001E-3</v>
      </c>
    </row>
    <row r="13" spans="1:23" x14ac:dyDescent="0.25">
      <c r="B13">
        <f>AVERAGE(B3:B12)</f>
        <v>5953.8</v>
      </c>
      <c r="C13">
        <f t="shared" ref="C13:W13" si="0">AVERAGE(C3:C12)</f>
        <v>4489.8</v>
      </c>
      <c r="D13">
        <f t="shared" si="0"/>
        <v>115.4</v>
      </c>
      <c r="E13">
        <f t="shared" si="0"/>
        <v>123.4</v>
      </c>
      <c r="F13">
        <f t="shared" si="0"/>
        <v>505.4</v>
      </c>
      <c r="G13">
        <f t="shared" si="0"/>
        <v>371.8</v>
      </c>
      <c r="H13">
        <f t="shared" si="0"/>
        <v>64072.2</v>
      </c>
      <c r="I13">
        <f t="shared" si="0"/>
        <v>169485.6</v>
      </c>
      <c r="J13">
        <f t="shared" si="0"/>
        <v>5380199.4000000004</v>
      </c>
      <c r="K13">
        <f t="shared" si="0"/>
        <v>5807042</v>
      </c>
      <c r="L13">
        <f t="shared" si="0"/>
        <v>89.6</v>
      </c>
      <c r="M13">
        <f t="shared" si="0"/>
        <v>92.2</v>
      </c>
      <c r="N13">
        <f t="shared" si="0"/>
        <v>53948.6</v>
      </c>
      <c r="O13">
        <f t="shared" si="0"/>
        <v>71185</v>
      </c>
      <c r="P13">
        <f t="shared" si="0"/>
        <v>3.6010000000000004</v>
      </c>
      <c r="Q13">
        <f t="shared" si="0"/>
        <v>3.9760000000000004</v>
      </c>
      <c r="R13">
        <f t="shared" si="0"/>
        <v>3.7503344000000003E-3</v>
      </c>
      <c r="S13">
        <f t="shared" si="0"/>
        <v>4.1822531E-3</v>
      </c>
      <c r="T13">
        <f t="shared" si="0"/>
        <v>4.9969999999999995E-4</v>
      </c>
      <c r="U13">
        <f t="shared" si="0"/>
        <v>7.9749999999999992E-4</v>
      </c>
      <c r="V13">
        <f t="shared" si="0"/>
        <v>3.2433999999999996E-3</v>
      </c>
      <c r="W13">
        <f t="shared" si="0"/>
        <v>3.2991000000000001E-3</v>
      </c>
    </row>
    <row r="14" spans="1:23" x14ac:dyDescent="0.25">
      <c r="C14">
        <f>100*C13/B13</f>
        <v>75.410662098155797</v>
      </c>
      <c r="E14">
        <f>100*E13/D13</f>
        <v>106.93240901213171</v>
      </c>
      <c r="G14">
        <f>100*G13/F13</f>
        <v>73.565492679066097</v>
      </c>
      <c r="I14">
        <f>100*I13/H13</f>
        <v>264.52283517656645</v>
      </c>
      <c r="K14">
        <f>100*K13/J13</f>
        <v>107.93358327945985</v>
      </c>
      <c r="M14">
        <f>100*M13/L13</f>
        <v>102.90178571428572</v>
      </c>
      <c r="O14">
        <f>100*O13/N13</f>
        <v>131.94967061239774</v>
      </c>
      <c r="Q14">
        <f>100*Q13/P13</f>
        <v>110.41377395168008</v>
      </c>
      <c r="S14">
        <f>100*S13/R13</f>
        <v>111.51680500810808</v>
      </c>
      <c r="U14">
        <f>100*U13/T13</f>
        <v>159.59575745447268</v>
      </c>
      <c r="W14">
        <f>100*W13/V13</f>
        <v>101.71733366220636</v>
      </c>
    </row>
    <row r="16" spans="1:23" x14ac:dyDescent="0.25">
      <c r="A16" t="s">
        <v>113</v>
      </c>
      <c r="B16" t="s">
        <v>81</v>
      </c>
      <c r="C16" t="s">
        <v>82</v>
      </c>
      <c r="D16" t="s">
        <v>81</v>
      </c>
      <c r="E16" t="s">
        <v>82</v>
      </c>
      <c r="F16" t="s">
        <v>81</v>
      </c>
      <c r="G16" t="s">
        <v>82</v>
      </c>
      <c r="H16" t="s">
        <v>81</v>
      </c>
      <c r="I16" t="s">
        <v>82</v>
      </c>
      <c r="J16" t="s">
        <v>81</v>
      </c>
      <c r="K16" t="s">
        <v>82</v>
      </c>
      <c r="L16" t="s">
        <v>81</v>
      </c>
      <c r="M16" t="s">
        <v>82</v>
      </c>
      <c r="N16" t="s">
        <v>81</v>
      </c>
      <c r="O16" t="s">
        <v>82</v>
      </c>
      <c r="P16" t="s">
        <v>81</v>
      </c>
      <c r="Q16" t="s">
        <v>82</v>
      </c>
      <c r="R16" t="s">
        <v>81</v>
      </c>
      <c r="S16" t="s">
        <v>82</v>
      </c>
    </row>
    <row r="17" spans="2:19" x14ac:dyDescent="0.25">
      <c r="B17" t="s">
        <v>89</v>
      </c>
      <c r="C17" t="s">
        <v>89</v>
      </c>
      <c r="D17" t="s">
        <v>90</v>
      </c>
      <c r="E17" t="s">
        <v>90</v>
      </c>
      <c r="F17" t="s">
        <v>80</v>
      </c>
      <c r="G17" t="s">
        <v>80</v>
      </c>
      <c r="H17" t="s">
        <v>83</v>
      </c>
      <c r="I17" t="s">
        <v>83</v>
      </c>
      <c r="J17" t="s">
        <v>84</v>
      </c>
      <c r="K17" t="s">
        <v>84</v>
      </c>
      <c r="L17" t="s">
        <v>85</v>
      </c>
      <c r="M17" t="s">
        <v>85</v>
      </c>
      <c r="N17" t="s">
        <v>88</v>
      </c>
      <c r="O17" t="s">
        <v>88</v>
      </c>
      <c r="P17" t="s">
        <v>4</v>
      </c>
      <c r="Q17" t="s">
        <v>4</v>
      </c>
      <c r="R17" t="s">
        <v>6</v>
      </c>
      <c r="S17" t="s">
        <v>6</v>
      </c>
    </row>
    <row r="18" spans="2:19" x14ac:dyDescent="0.25">
      <c r="B18">
        <v>5134</v>
      </c>
      <c r="C18">
        <v>4072</v>
      </c>
      <c r="D18">
        <v>110</v>
      </c>
      <c r="E18">
        <v>112</v>
      </c>
      <c r="F18">
        <v>426</v>
      </c>
      <c r="G18">
        <v>746</v>
      </c>
      <c r="H18">
        <v>287178</v>
      </c>
      <c r="I18">
        <v>248168</v>
      </c>
      <c r="J18">
        <v>94</v>
      </c>
      <c r="K18">
        <v>88</v>
      </c>
      <c r="L18">
        <v>1.04</v>
      </c>
      <c r="M18">
        <v>1.1499999999999999</v>
      </c>
      <c r="N18">
        <v>1.1809050000000001E-3</v>
      </c>
      <c r="O18">
        <v>1.317049E-3</v>
      </c>
      <c r="P18">
        <v>1.186E-3</v>
      </c>
      <c r="Q18">
        <v>0</v>
      </c>
      <c r="R18">
        <v>0</v>
      </c>
      <c r="S18">
        <v>1.328E-3</v>
      </c>
    </row>
    <row r="19" spans="2:19" x14ac:dyDescent="0.25">
      <c r="B19">
        <v>4224</v>
      </c>
      <c r="C19" s="4">
        <v>3574</v>
      </c>
      <c r="D19">
        <v>112</v>
      </c>
      <c r="E19">
        <v>130</v>
      </c>
      <c r="F19">
        <v>424</v>
      </c>
      <c r="G19">
        <v>640</v>
      </c>
      <c r="H19">
        <v>238770</v>
      </c>
      <c r="I19">
        <v>237122</v>
      </c>
      <c r="J19">
        <v>88</v>
      </c>
      <c r="K19">
        <v>90</v>
      </c>
      <c r="L19">
        <v>0.99</v>
      </c>
      <c r="M19">
        <v>1.0900000000000001</v>
      </c>
      <c r="N19">
        <v>1.123268E-3</v>
      </c>
      <c r="O19">
        <v>1.2497809999999999E-3</v>
      </c>
      <c r="P19">
        <v>1.124E-3</v>
      </c>
      <c r="Q19">
        <v>1.238E-3</v>
      </c>
      <c r="R19">
        <v>0</v>
      </c>
      <c r="S19">
        <v>0</v>
      </c>
    </row>
    <row r="20" spans="2:19" x14ac:dyDescent="0.25">
      <c r="B20" s="4"/>
      <c r="C20" s="4"/>
    </row>
    <row r="21" spans="2:19" x14ac:dyDescent="0.25">
      <c r="B21" s="4"/>
      <c r="C21" s="4"/>
    </row>
    <row r="22" spans="2:19" x14ac:dyDescent="0.25">
      <c r="B22" s="4"/>
      <c r="C22" s="4"/>
    </row>
    <row r="28" spans="2:19" x14ac:dyDescent="0.25">
      <c r="B28">
        <f>AVERAGE(B18:B27)</f>
        <v>4679</v>
      </c>
      <c r="C28">
        <f t="shared" ref="C28:S28" si="1">AVERAGE(C18:C27)</f>
        <v>3823</v>
      </c>
      <c r="D28">
        <f t="shared" si="1"/>
        <v>111</v>
      </c>
      <c r="E28">
        <f t="shared" si="1"/>
        <v>121</v>
      </c>
      <c r="F28">
        <f t="shared" si="1"/>
        <v>425</v>
      </c>
      <c r="G28">
        <f t="shared" si="1"/>
        <v>693</v>
      </c>
      <c r="H28">
        <f t="shared" si="1"/>
        <v>262974</v>
      </c>
      <c r="I28">
        <f t="shared" si="1"/>
        <v>242645</v>
      </c>
      <c r="J28">
        <f t="shared" si="1"/>
        <v>91</v>
      </c>
      <c r="K28">
        <f t="shared" si="1"/>
        <v>89</v>
      </c>
      <c r="L28">
        <f t="shared" si="1"/>
        <v>1.0150000000000001</v>
      </c>
      <c r="M28">
        <f t="shared" si="1"/>
        <v>1.1200000000000001</v>
      </c>
      <c r="N28">
        <f t="shared" si="1"/>
        <v>1.1520865E-3</v>
      </c>
      <c r="O28">
        <f t="shared" si="1"/>
        <v>1.283415E-3</v>
      </c>
      <c r="P28">
        <f t="shared" si="1"/>
        <v>1.155E-3</v>
      </c>
      <c r="Q28">
        <f t="shared" si="1"/>
        <v>6.1899999999999998E-4</v>
      </c>
      <c r="R28">
        <f t="shared" si="1"/>
        <v>0</v>
      </c>
      <c r="S28">
        <f t="shared" si="1"/>
        <v>6.6399999999999999E-4</v>
      </c>
    </row>
    <row r="29" spans="2:19" x14ac:dyDescent="0.25">
      <c r="C29">
        <f>100*C28/B28</f>
        <v>81.705492626629621</v>
      </c>
      <c r="E29">
        <f>100*E28/D28</f>
        <v>109.00900900900901</v>
      </c>
      <c r="G29">
        <f>100*G28/F28</f>
        <v>163.05882352941177</v>
      </c>
      <c r="I29">
        <f>100*I28/H28</f>
        <v>92.269577981093192</v>
      </c>
      <c r="K29">
        <f>100*K28/J28</f>
        <v>97.802197802197796</v>
      </c>
      <c r="M29">
        <f>100*M28/L28</f>
        <v>110.3448275862069</v>
      </c>
      <c r="O29">
        <f>100*O28/N28</f>
        <v>111.39918747420441</v>
      </c>
      <c r="Q29">
        <f>100*Q28/P28</f>
        <v>53.593073593073591</v>
      </c>
      <c r="S29" t="e">
        <f>100*S28/R28</f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31AA7-C9B1-412A-B7D7-E9BD83A87ECC}">
  <dimension ref="A1:N39"/>
  <sheetViews>
    <sheetView workbookViewId="0">
      <selection activeCell="D15" sqref="D15"/>
    </sheetView>
  </sheetViews>
  <sheetFormatPr defaultRowHeight="15" x14ac:dyDescent="0.25"/>
  <cols>
    <col min="1" max="1" width="22" bestFit="1" customWidth="1"/>
    <col min="2" max="2" width="19.42578125" customWidth="1"/>
    <col min="3" max="3" width="10.28515625" bestFit="1" customWidth="1"/>
    <col min="4" max="4" width="16.5703125" customWidth="1"/>
    <col min="5" max="5" width="10.28515625" bestFit="1" customWidth="1"/>
  </cols>
  <sheetData>
    <row r="1" spans="1:14" x14ac:dyDescent="0.25">
      <c r="B1" t="s">
        <v>0</v>
      </c>
      <c r="D1" t="s">
        <v>1</v>
      </c>
      <c r="F1" t="s">
        <v>31</v>
      </c>
      <c r="K1" t="s">
        <v>79</v>
      </c>
    </row>
    <row r="2" spans="1:14" x14ac:dyDescent="0.25">
      <c r="A2" t="s">
        <v>2</v>
      </c>
      <c r="B2" t="s">
        <v>3</v>
      </c>
      <c r="C2" t="s">
        <v>17</v>
      </c>
      <c r="D2" t="s">
        <v>3</v>
      </c>
      <c r="E2" t="s">
        <v>56</v>
      </c>
      <c r="K2" t="s">
        <v>80</v>
      </c>
      <c r="L2">
        <v>78938678</v>
      </c>
      <c r="M2">
        <v>78179948</v>
      </c>
      <c r="N2">
        <v>77643066</v>
      </c>
    </row>
    <row r="3" spans="1:14" x14ac:dyDescent="0.25">
      <c r="B3" t="s">
        <v>4</v>
      </c>
      <c r="C3" t="s">
        <v>46</v>
      </c>
      <c r="D3" t="s">
        <v>4</v>
      </c>
      <c r="E3" t="s">
        <v>57</v>
      </c>
      <c r="L3">
        <v>36955344</v>
      </c>
    </row>
    <row r="4" spans="1:14" x14ac:dyDescent="0.25">
      <c r="B4" t="s">
        <v>6</v>
      </c>
      <c r="C4" t="s">
        <v>28</v>
      </c>
      <c r="D4" t="s">
        <v>6</v>
      </c>
      <c r="E4" t="s">
        <v>58</v>
      </c>
    </row>
    <row r="5" spans="1:14" x14ac:dyDescent="0.25">
      <c r="A5" t="s">
        <v>7</v>
      </c>
      <c r="B5" t="s">
        <v>3</v>
      </c>
      <c r="C5" t="s">
        <v>18</v>
      </c>
      <c r="D5" t="s">
        <v>3</v>
      </c>
      <c r="E5" t="s">
        <v>59</v>
      </c>
    </row>
    <row r="6" spans="1:14" x14ac:dyDescent="0.25">
      <c r="B6" t="s">
        <v>4</v>
      </c>
      <c r="C6" t="s">
        <v>36</v>
      </c>
      <c r="D6" t="s">
        <v>4</v>
      </c>
      <c r="E6" t="s">
        <v>60</v>
      </c>
    </row>
    <row r="7" spans="1:14" x14ac:dyDescent="0.25">
      <c r="B7" t="s">
        <v>6</v>
      </c>
      <c r="C7" t="s">
        <v>47</v>
      </c>
      <c r="D7" t="s">
        <v>6</v>
      </c>
      <c r="E7" t="s">
        <v>61</v>
      </c>
    </row>
    <row r="8" spans="1:14" x14ac:dyDescent="0.25">
      <c r="A8" t="s">
        <v>10</v>
      </c>
      <c r="B8" t="s">
        <v>3</v>
      </c>
      <c r="C8" t="s">
        <v>35</v>
      </c>
      <c r="D8" t="s">
        <v>3</v>
      </c>
      <c r="E8" t="s">
        <v>62</v>
      </c>
    </row>
    <row r="9" spans="1:14" x14ac:dyDescent="0.25">
      <c r="B9" t="s">
        <v>4</v>
      </c>
      <c r="C9" t="s">
        <v>36</v>
      </c>
      <c r="D9" t="s">
        <v>4</v>
      </c>
      <c r="E9" t="s">
        <v>46</v>
      </c>
    </row>
    <row r="10" spans="1:14" x14ac:dyDescent="0.25">
      <c r="B10" t="s">
        <v>6</v>
      </c>
      <c r="C10" t="s">
        <v>48</v>
      </c>
      <c r="D10" t="s">
        <v>6</v>
      </c>
      <c r="E10" t="s">
        <v>58</v>
      </c>
    </row>
    <row r="11" spans="1:14" x14ac:dyDescent="0.25">
      <c r="A11" t="s">
        <v>16</v>
      </c>
      <c r="B11" t="s">
        <v>3</v>
      </c>
      <c r="C11" t="s">
        <v>39</v>
      </c>
      <c r="D11" t="s">
        <v>40</v>
      </c>
    </row>
    <row r="12" spans="1:14" x14ac:dyDescent="0.25">
      <c r="B12" t="s">
        <v>4</v>
      </c>
      <c r="C12" t="s">
        <v>49</v>
      </c>
    </row>
    <row r="13" spans="1:14" x14ac:dyDescent="0.25">
      <c r="B13" t="s">
        <v>6</v>
      </c>
      <c r="C13" t="s">
        <v>50</v>
      </c>
    </row>
    <row r="14" spans="1:14" x14ac:dyDescent="0.25">
      <c r="A14" t="s">
        <v>19</v>
      </c>
      <c r="B14" t="s">
        <v>20</v>
      </c>
      <c r="D14" t="s">
        <v>41</v>
      </c>
    </row>
    <row r="15" spans="1:14" x14ac:dyDescent="0.25">
      <c r="A15" t="s">
        <v>13</v>
      </c>
      <c r="B15" t="s">
        <v>3</v>
      </c>
      <c r="C15" t="s">
        <v>42</v>
      </c>
      <c r="D15" t="s">
        <v>3</v>
      </c>
      <c r="E15" t="s">
        <v>63</v>
      </c>
    </row>
    <row r="16" spans="1:14" x14ac:dyDescent="0.25">
      <c r="B16" t="s">
        <v>4</v>
      </c>
      <c r="C16" t="s">
        <v>11</v>
      </c>
      <c r="D16" t="s">
        <v>4</v>
      </c>
      <c r="E16" t="s">
        <v>64</v>
      </c>
    </row>
    <row r="17" spans="1:6" x14ac:dyDescent="0.25">
      <c r="B17" t="s">
        <v>6</v>
      </c>
      <c r="C17" t="s">
        <v>12</v>
      </c>
      <c r="D17" t="s">
        <v>6</v>
      </c>
      <c r="E17" t="s">
        <v>65</v>
      </c>
    </row>
    <row r="18" spans="1:6" x14ac:dyDescent="0.25">
      <c r="A18" t="s">
        <v>22</v>
      </c>
      <c r="B18" t="s">
        <v>21</v>
      </c>
      <c r="D18" t="s">
        <v>21</v>
      </c>
    </row>
    <row r="19" spans="1:6" x14ac:dyDescent="0.25">
      <c r="A19" t="s">
        <v>14</v>
      </c>
      <c r="B19" t="s">
        <v>15</v>
      </c>
      <c r="D19" t="s">
        <v>3</v>
      </c>
      <c r="E19" t="s">
        <v>66</v>
      </c>
    </row>
    <row r="20" spans="1:6" x14ac:dyDescent="0.25">
      <c r="D20" t="s">
        <v>4</v>
      </c>
      <c r="E20" t="s">
        <v>67</v>
      </c>
    </row>
    <row r="21" spans="1:6" x14ac:dyDescent="0.25">
      <c r="D21" t="s">
        <v>6</v>
      </c>
      <c r="E21" t="s">
        <v>8</v>
      </c>
    </row>
    <row r="23" spans="1:6" x14ac:dyDescent="0.25">
      <c r="A23" t="s">
        <v>23</v>
      </c>
      <c r="B23" t="s">
        <v>24</v>
      </c>
      <c r="D23" t="s">
        <v>24</v>
      </c>
    </row>
    <row r="24" spans="1:6" x14ac:dyDescent="0.25">
      <c r="A24" t="s">
        <v>26</v>
      </c>
      <c r="B24" t="s">
        <v>25</v>
      </c>
      <c r="D24" t="s">
        <v>25</v>
      </c>
    </row>
    <row r="25" spans="1:6" x14ac:dyDescent="0.25">
      <c r="A25" t="s">
        <v>29</v>
      </c>
      <c r="B25" t="s">
        <v>3</v>
      </c>
      <c r="C25" t="s">
        <v>51</v>
      </c>
      <c r="D25" t="s">
        <v>3</v>
      </c>
      <c r="E25" t="s">
        <v>68</v>
      </c>
      <c r="F25" t="s">
        <v>30</v>
      </c>
    </row>
    <row r="26" spans="1:6" x14ac:dyDescent="0.25">
      <c r="B26" t="s">
        <v>4</v>
      </c>
      <c r="C26" t="s">
        <v>50</v>
      </c>
      <c r="D26" t="s">
        <v>4</v>
      </c>
      <c r="E26" t="s">
        <v>69</v>
      </c>
    </row>
    <row r="27" spans="1:6" x14ac:dyDescent="0.25">
      <c r="B27" t="s">
        <v>6</v>
      </c>
      <c r="C27" t="s">
        <v>50</v>
      </c>
      <c r="D27" t="s">
        <v>6</v>
      </c>
      <c r="E27" t="s">
        <v>70</v>
      </c>
    </row>
    <row r="28" spans="1:6" x14ac:dyDescent="0.25">
      <c r="A28" t="s">
        <v>32</v>
      </c>
      <c r="B28" t="s">
        <v>3</v>
      </c>
      <c r="C28" t="s">
        <v>27</v>
      </c>
      <c r="D28" t="s">
        <v>3</v>
      </c>
      <c r="E28" t="s">
        <v>71</v>
      </c>
      <c r="F28" t="s">
        <v>30</v>
      </c>
    </row>
    <row r="29" spans="1:6" x14ac:dyDescent="0.25">
      <c r="B29" t="s">
        <v>4</v>
      </c>
      <c r="C29" t="s">
        <v>9</v>
      </c>
      <c r="D29" t="s">
        <v>4</v>
      </c>
      <c r="E29" t="s">
        <v>60</v>
      </c>
    </row>
    <row r="30" spans="1:6" x14ac:dyDescent="0.25">
      <c r="B30" t="s">
        <v>6</v>
      </c>
      <c r="C30" t="s">
        <v>47</v>
      </c>
      <c r="D30" t="s">
        <v>6</v>
      </c>
      <c r="E30" t="s">
        <v>69</v>
      </c>
    </row>
    <row r="31" spans="1:6" x14ac:dyDescent="0.25">
      <c r="A31" t="s">
        <v>34</v>
      </c>
      <c r="B31" t="s">
        <v>3</v>
      </c>
      <c r="C31" t="s">
        <v>27</v>
      </c>
      <c r="D31" t="s">
        <v>3</v>
      </c>
      <c r="E31" t="s">
        <v>72</v>
      </c>
    </row>
    <row r="32" spans="1:6" x14ac:dyDescent="0.25">
      <c r="B32" t="s">
        <v>4</v>
      </c>
      <c r="C32" t="s">
        <v>52</v>
      </c>
      <c r="D32" t="s">
        <v>4</v>
      </c>
      <c r="E32" t="s">
        <v>73</v>
      </c>
    </row>
    <row r="33" spans="1:6" x14ac:dyDescent="0.25">
      <c r="B33" t="s">
        <v>6</v>
      </c>
      <c r="C33" t="s">
        <v>5</v>
      </c>
      <c r="D33" t="s">
        <v>6</v>
      </c>
      <c r="E33" t="s">
        <v>61</v>
      </c>
    </row>
    <row r="34" spans="1:6" x14ac:dyDescent="0.25">
      <c r="A34" t="s">
        <v>37</v>
      </c>
      <c r="B34" t="s">
        <v>3</v>
      </c>
      <c r="C34" t="s">
        <v>47</v>
      </c>
      <c r="D34" t="s">
        <v>3</v>
      </c>
      <c r="E34" t="s">
        <v>74</v>
      </c>
    </row>
    <row r="35" spans="1:6" x14ac:dyDescent="0.25">
      <c r="B35" t="s">
        <v>4</v>
      </c>
      <c r="C35" t="s">
        <v>11</v>
      </c>
      <c r="D35" t="s">
        <v>4</v>
      </c>
      <c r="E35" t="s">
        <v>75</v>
      </c>
    </row>
    <row r="36" spans="1:6" x14ac:dyDescent="0.25">
      <c r="B36" t="s">
        <v>6</v>
      </c>
      <c r="C36" t="s">
        <v>33</v>
      </c>
      <c r="D36" t="s">
        <v>6</v>
      </c>
      <c r="E36" t="s">
        <v>8</v>
      </c>
    </row>
    <row r="37" spans="1:6" x14ac:dyDescent="0.25">
      <c r="A37" t="s">
        <v>38</v>
      </c>
      <c r="B37" t="s">
        <v>3</v>
      </c>
      <c r="C37" t="s">
        <v>53</v>
      </c>
      <c r="D37" t="s">
        <v>3</v>
      </c>
      <c r="E37" t="s">
        <v>43</v>
      </c>
      <c r="F37" t="s">
        <v>76</v>
      </c>
    </row>
    <row r="38" spans="1:6" x14ac:dyDescent="0.25">
      <c r="B38" t="s">
        <v>4</v>
      </c>
      <c r="C38" t="s">
        <v>54</v>
      </c>
      <c r="D38" t="s">
        <v>4</v>
      </c>
      <c r="E38" t="s">
        <v>44</v>
      </c>
      <c r="F38" t="s">
        <v>77</v>
      </c>
    </row>
    <row r="39" spans="1:6" x14ac:dyDescent="0.25">
      <c r="B39" t="s">
        <v>6</v>
      </c>
      <c r="C39" t="s">
        <v>55</v>
      </c>
      <c r="D39" t="s">
        <v>6</v>
      </c>
      <c r="E39" t="s">
        <v>45</v>
      </c>
      <c r="F39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0DB50-D54A-411E-AC79-9A53DEF2B1DE}">
  <dimension ref="A1:S103"/>
  <sheetViews>
    <sheetView topLeftCell="A82" workbookViewId="0">
      <selection activeCell="I60" sqref="I60"/>
    </sheetView>
  </sheetViews>
  <sheetFormatPr defaultRowHeight="15" x14ac:dyDescent="0.25"/>
  <cols>
    <col min="2" max="3" width="10.140625" bestFit="1" customWidth="1"/>
    <col min="4" max="5" width="12.7109375" bestFit="1" customWidth="1"/>
    <col min="6" max="6" width="9.28515625" bestFit="1" customWidth="1"/>
    <col min="7" max="8" width="10.140625" bestFit="1" customWidth="1"/>
    <col min="10" max="11" width="15.85546875" bestFit="1" customWidth="1"/>
    <col min="14" max="15" width="12" bestFit="1" customWidth="1"/>
    <col min="17" max="19" width="9" bestFit="1" customWidth="1"/>
  </cols>
  <sheetData>
    <row r="1" spans="1:19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</row>
    <row r="2" spans="1:19" x14ac:dyDescent="0.25">
      <c r="B2" t="s">
        <v>112</v>
      </c>
      <c r="C2" t="s">
        <v>112</v>
      </c>
      <c r="D2" t="s">
        <v>83</v>
      </c>
      <c r="E2" t="s">
        <v>83</v>
      </c>
      <c r="F2" t="s">
        <v>84</v>
      </c>
      <c r="G2" t="s">
        <v>84</v>
      </c>
      <c r="H2" t="s">
        <v>85</v>
      </c>
      <c r="I2" t="s">
        <v>85</v>
      </c>
      <c r="J2" t="s">
        <v>86</v>
      </c>
      <c r="K2" t="s">
        <v>86</v>
      </c>
      <c r="L2" t="s">
        <v>87</v>
      </c>
      <c r="M2" t="s">
        <v>87</v>
      </c>
      <c r="N2" t="s">
        <v>88</v>
      </c>
      <c r="O2" t="s">
        <v>88</v>
      </c>
      <c r="P2" t="s">
        <v>4</v>
      </c>
      <c r="Q2" t="s">
        <v>4</v>
      </c>
      <c r="R2" t="s">
        <v>6</v>
      </c>
      <c r="S2" t="s">
        <v>6</v>
      </c>
    </row>
    <row r="3" spans="1:19" x14ac:dyDescent="0.25">
      <c r="J3" s="1"/>
    </row>
    <row r="4" spans="1:19" x14ac:dyDescent="0.25">
      <c r="B4" s="1">
        <v>37080432</v>
      </c>
      <c r="C4" s="1">
        <v>81485398</v>
      </c>
      <c r="D4" s="1">
        <v>23289080</v>
      </c>
      <c r="E4" s="1">
        <v>26022258</v>
      </c>
      <c r="F4" s="1">
        <v>1693300</v>
      </c>
      <c r="G4" s="1">
        <v>1997068</v>
      </c>
      <c r="H4">
        <v>32.11</v>
      </c>
      <c r="I4" s="3">
        <v>55.94</v>
      </c>
      <c r="J4">
        <v>22</v>
      </c>
      <c r="L4">
        <v>645</v>
      </c>
      <c r="N4">
        <v>3.2310285000000001E-2</v>
      </c>
      <c r="O4">
        <v>5.6175735999999997E-2</v>
      </c>
      <c r="P4">
        <v>1.3644999999999999E-2</v>
      </c>
      <c r="Q4">
        <v>1.7874000000000001E-2</v>
      </c>
      <c r="R4">
        <v>1.8523999999999999E-2</v>
      </c>
      <c r="S4">
        <v>3.7749999999999999E-2</v>
      </c>
    </row>
    <row r="5" spans="1:19" x14ac:dyDescent="0.25">
      <c r="B5" s="1">
        <v>36716744</v>
      </c>
      <c r="C5" s="1">
        <v>82135970</v>
      </c>
      <c r="D5" s="1">
        <v>22995380</v>
      </c>
      <c r="E5" s="1">
        <v>25852782</v>
      </c>
      <c r="F5" s="1">
        <v>1820356</v>
      </c>
      <c r="G5" s="1">
        <v>2001596</v>
      </c>
      <c r="H5">
        <v>31.78</v>
      </c>
      <c r="I5" s="3">
        <v>56.18</v>
      </c>
      <c r="J5">
        <v>24</v>
      </c>
      <c r="L5">
        <v>650</v>
      </c>
      <c r="M5">
        <v>647</v>
      </c>
      <c r="N5">
        <v>3.2009994999999999E-2</v>
      </c>
      <c r="O5">
        <v>5.6396060999999997E-2</v>
      </c>
      <c r="P5">
        <v>1.2936E-2</v>
      </c>
      <c r="Q5">
        <v>1.2906000000000001E-2</v>
      </c>
      <c r="R5">
        <v>1.8918999999999998E-2</v>
      </c>
      <c r="S5">
        <v>4.2729999999999997E-2</v>
      </c>
    </row>
    <row r="6" spans="1:19" x14ac:dyDescent="0.25">
      <c r="B6" s="1">
        <v>36685828</v>
      </c>
      <c r="C6" s="1">
        <v>82628850</v>
      </c>
      <c r="D6" s="1">
        <v>23206798</v>
      </c>
      <c r="E6" s="1">
        <v>25993126</v>
      </c>
      <c r="F6" s="1">
        <v>1709786</v>
      </c>
      <c r="G6" s="1">
        <v>2004638</v>
      </c>
      <c r="H6">
        <v>31.86</v>
      </c>
      <c r="I6" s="3">
        <v>56.48</v>
      </c>
      <c r="J6">
        <v>24</v>
      </c>
      <c r="K6">
        <v>29</v>
      </c>
      <c r="L6">
        <v>643</v>
      </c>
      <c r="M6">
        <v>649</v>
      </c>
      <c r="N6">
        <v>3.2057864999999998E-2</v>
      </c>
      <c r="O6">
        <v>5.6691552999999999E-2</v>
      </c>
      <c r="P6">
        <v>1.2971E-2</v>
      </c>
      <c r="Q6">
        <v>1.6892000000000001E-2</v>
      </c>
      <c r="R6">
        <v>1.8964999999999999E-2</v>
      </c>
      <c r="S6">
        <v>3.8766000000000002E-2</v>
      </c>
    </row>
    <row r="7" spans="1:19" x14ac:dyDescent="0.25">
      <c r="B7" s="1">
        <v>36822736</v>
      </c>
      <c r="C7" s="1"/>
      <c r="D7" s="1">
        <v>23239994</v>
      </c>
      <c r="E7" s="1"/>
      <c r="F7" s="1">
        <v>1734094</v>
      </c>
      <c r="G7" s="1"/>
      <c r="H7">
        <v>31.94</v>
      </c>
      <c r="I7" s="3"/>
      <c r="J7">
        <v>23</v>
      </c>
      <c r="K7" s="1"/>
      <c r="L7">
        <v>644</v>
      </c>
      <c r="M7">
        <v>652</v>
      </c>
      <c r="N7">
        <v>3.2137400000000003E-2</v>
      </c>
      <c r="P7">
        <v>1.4997E-2</v>
      </c>
      <c r="R7">
        <v>1.7006E-2</v>
      </c>
    </row>
    <row r="8" spans="1:19" x14ac:dyDescent="0.25">
      <c r="B8" s="1">
        <v>37010378</v>
      </c>
      <c r="C8" s="1">
        <v>81010994</v>
      </c>
      <c r="D8" s="1">
        <v>23267864</v>
      </c>
      <c r="E8" s="1">
        <v>29427228</v>
      </c>
      <c r="F8" s="1">
        <v>1740260</v>
      </c>
      <c r="G8" s="1">
        <v>2052632</v>
      </c>
      <c r="H8">
        <v>32.020000000000003</v>
      </c>
      <c r="I8" s="3">
        <v>56.73</v>
      </c>
      <c r="J8">
        <v>21</v>
      </c>
      <c r="K8">
        <v>23</v>
      </c>
      <c r="L8">
        <v>645</v>
      </c>
      <c r="M8">
        <v>648</v>
      </c>
      <c r="N8">
        <v>3.2232987999999997E-2</v>
      </c>
      <c r="O8">
        <v>5.7688195999999997E-2</v>
      </c>
      <c r="P8">
        <v>1.3983000000000001E-2</v>
      </c>
      <c r="Q8">
        <v>1.8592000000000001E-2</v>
      </c>
      <c r="R8">
        <v>1.7988000000000001E-2</v>
      </c>
      <c r="S8">
        <v>3.7290999999999998E-2</v>
      </c>
    </row>
    <row r="9" spans="1:19" x14ac:dyDescent="0.25">
      <c r="B9" s="1">
        <v>37061980</v>
      </c>
      <c r="C9" s="1"/>
      <c r="D9" s="1">
        <v>23399590</v>
      </c>
      <c r="E9" s="1"/>
      <c r="F9" s="1">
        <v>1739202</v>
      </c>
      <c r="G9" s="1"/>
      <c r="H9">
        <v>32.130000000000003</v>
      </c>
      <c r="I9" s="3"/>
      <c r="J9">
        <v>21</v>
      </c>
      <c r="K9">
        <v>79</v>
      </c>
      <c r="L9">
        <v>647</v>
      </c>
      <c r="M9">
        <v>647</v>
      </c>
      <c r="N9">
        <v>3.2331855999999999E-2</v>
      </c>
      <c r="P9">
        <v>1.2987E-2</v>
      </c>
      <c r="R9">
        <v>1.8998000000000001E-2</v>
      </c>
    </row>
    <row r="10" spans="1:19" x14ac:dyDescent="0.25">
      <c r="B10" s="1">
        <v>36613830</v>
      </c>
      <c r="C10" s="1">
        <v>81468402</v>
      </c>
      <c r="D10" s="1">
        <v>23393134</v>
      </c>
      <c r="E10" s="1">
        <v>25548164</v>
      </c>
      <c r="F10" s="1">
        <v>1724992</v>
      </c>
      <c r="G10" s="1">
        <v>1999898</v>
      </c>
      <c r="H10">
        <v>31.89</v>
      </c>
      <c r="I10" s="3">
        <v>55.72</v>
      </c>
      <c r="J10">
        <v>24</v>
      </c>
      <c r="L10">
        <v>644</v>
      </c>
      <c r="M10">
        <v>648</v>
      </c>
      <c r="N10">
        <v>3.2088639000000002E-2</v>
      </c>
      <c r="O10">
        <v>5.5987678999999999E-2</v>
      </c>
      <c r="P10">
        <v>1.3975E-2</v>
      </c>
      <c r="Q10">
        <v>1.7510999999999999E-2</v>
      </c>
      <c r="R10">
        <v>1.7977E-2</v>
      </c>
      <c r="S10">
        <v>3.7981000000000001E-2</v>
      </c>
    </row>
    <row r="11" spans="1:19" x14ac:dyDescent="0.25">
      <c r="B11" s="1">
        <v>36898860</v>
      </c>
      <c r="C11" s="1">
        <v>82066062</v>
      </c>
      <c r="D11" s="1">
        <v>25234264</v>
      </c>
      <c r="E11" s="1">
        <v>19264966</v>
      </c>
      <c r="F11" s="1">
        <v>1794004</v>
      </c>
      <c r="G11" s="1">
        <v>2008222</v>
      </c>
      <c r="H11">
        <v>32.369999999999997</v>
      </c>
      <c r="I11" s="3">
        <v>52.85</v>
      </c>
      <c r="J11">
        <v>24</v>
      </c>
      <c r="K11">
        <v>24</v>
      </c>
      <c r="L11">
        <v>650</v>
      </c>
      <c r="M11">
        <v>645</v>
      </c>
      <c r="N11">
        <v>3.3194677999999998E-2</v>
      </c>
      <c r="O11">
        <v>5.3067890999999999E-2</v>
      </c>
      <c r="P11">
        <v>1.4659E-2</v>
      </c>
      <c r="Q11">
        <v>1.4877E-2</v>
      </c>
      <c r="R11">
        <v>1.7684999999999999E-2</v>
      </c>
      <c r="S11">
        <v>3.7716E-2</v>
      </c>
    </row>
    <row r="12" spans="1:19" x14ac:dyDescent="0.25">
      <c r="B12" s="1"/>
      <c r="C12" s="1">
        <v>81704706</v>
      </c>
      <c r="D12" s="1"/>
      <c r="E12" s="1">
        <v>21801928</v>
      </c>
      <c r="F12" s="1"/>
      <c r="G12" s="1">
        <v>2011182</v>
      </c>
      <c r="I12" s="3">
        <v>54.01</v>
      </c>
      <c r="K12">
        <v>22</v>
      </c>
      <c r="M12">
        <v>644</v>
      </c>
      <c r="O12">
        <v>5.4243535000000002E-2</v>
      </c>
      <c r="Q12">
        <v>1.4413E-2</v>
      </c>
      <c r="S12">
        <v>3.8474000000000001E-2</v>
      </c>
    </row>
    <row r="13" spans="1:19" x14ac:dyDescent="0.25">
      <c r="B13" s="1"/>
      <c r="C13" s="1">
        <v>81213038</v>
      </c>
      <c r="D13" s="1"/>
      <c r="E13" s="1">
        <v>20656898</v>
      </c>
      <c r="F13" s="1"/>
      <c r="G13" s="1">
        <v>2026640</v>
      </c>
      <c r="I13" s="3">
        <v>52.68</v>
      </c>
      <c r="K13">
        <v>23</v>
      </c>
      <c r="M13">
        <v>645</v>
      </c>
      <c r="O13">
        <v>5.3314845999999999E-2</v>
      </c>
      <c r="Q13">
        <v>1.2801E-2</v>
      </c>
      <c r="S13">
        <v>3.9446000000000002E-2</v>
      </c>
    </row>
    <row r="14" spans="1:19" x14ac:dyDescent="0.25">
      <c r="B14" s="1"/>
      <c r="C14" s="1"/>
      <c r="D14" s="1"/>
      <c r="E14" s="1"/>
      <c r="F14" s="1"/>
      <c r="G14" s="1"/>
      <c r="I14" s="3"/>
      <c r="K14">
        <v>22</v>
      </c>
      <c r="M14">
        <v>647</v>
      </c>
    </row>
    <row r="15" spans="1:19" x14ac:dyDescent="0.25">
      <c r="B15" s="1">
        <f>AVERAGE(B4:B14)</f>
        <v>36861348.5</v>
      </c>
      <c r="C15" s="1">
        <f t="shared" ref="C15:S15" si="0">AVERAGE(C4:C14)</f>
        <v>81714177.5</v>
      </c>
      <c r="D15" s="1">
        <f t="shared" si="0"/>
        <v>23503263</v>
      </c>
      <c r="E15" s="1">
        <f t="shared" si="0"/>
        <v>24320918.75</v>
      </c>
      <c r="F15" s="1">
        <f t="shared" si="0"/>
        <v>1744499.25</v>
      </c>
      <c r="G15" s="1">
        <f t="shared" si="0"/>
        <v>2012734.5</v>
      </c>
      <c r="H15" s="1">
        <f t="shared" si="0"/>
        <v>32.012500000000003</v>
      </c>
      <c r="I15" s="1">
        <f t="shared" si="0"/>
        <v>55.073749999999997</v>
      </c>
      <c r="J15" s="1">
        <f t="shared" si="0"/>
        <v>22.875</v>
      </c>
      <c r="K15" s="1">
        <f t="shared" si="0"/>
        <v>31.714285714285715</v>
      </c>
      <c r="L15" s="1">
        <f t="shared" si="0"/>
        <v>646</v>
      </c>
      <c r="M15" s="1">
        <f t="shared" si="0"/>
        <v>647.20000000000005</v>
      </c>
      <c r="N15" s="1">
        <f t="shared" si="0"/>
        <v>3.2295463249999996E-2</v>
      </c>
      <c r="O15" s="1">
        <f t="shared" si="0"/>
        <v>5.5445687125000004E-2</v>
      </c>
      <c r="P15" s="1">
        <f t="shared" si="0"/>
        <v>1.3769125E-2</v>
      </c>
      <c r="Q15" s="1">
        <f t="shared" si="0"/>
        <v>1.5733250000000001E-2</v>
      </c>
      <c r="R15" s="1">
        <f t="shared" si="0"/>
        <v>1.8257750000000003E-2</v>
      </c>
      <c r="S15" s="1">
        <f t="shared" si="0"/>
        <v>3.8769249999999991E-2</v>
      </c>
    </row>
    <row r="16" spans="1:19" x14ac:dyDescent="0.25">
      <c r="B16" s="1"/>
      <c r="C16">
        <f>100*C15/B15</f>
        <v>221.67983762178423</v>
      </c>
      <c r="D16" s="1"/>
      <c r="E16">
        <f>100*E15/D15</f>
        <v>103.47890312081348</v>
      </c>
      <c r="F16" s="1"/>
      <c r="G16">
        <f>100*G15/F15</f>
        <v>115.37605992092</v>
      </c>
      <c r="H16" s="1"/>
      <c r="I16">
        <f>100*I15/H15</f>
        <v>172.03826630222568</v>
      </c>
      <c r="J16" s="1"/>
      <c r="K16">
        <f>100*K15/J15</f>
        <v>138.64168618266979</v>
      </c>
      <c r="L16" s="1"/>
      <c r="M16">
        <f>100*M15/L15</f>
        <v>100.1857585139319</v>
      </c>
      <c r="N16" s="1"/>
      <c r="O16">
        <f>100*O15/N15</f>
        <v>171.68258803347561</v>
      </c>
      <c r="P16" s="1"/>
      <c r="Q16">
        <f>100*Q15/P15</f>
        <v>114.26470454731147</v>
      </c>
      <c r="R16" s="1"/>
      <c r="S16">
        <f>100*S15/R15</f>
        <v>212.34407306486278</v>
      </c>
    </row>
    <row r="17" spans="1:19" x14ac:dyDescent="0.25">
      <c r="B17" s="1"/>
      <c r="D17" s="1"/>
      <c r="F17" s="1"/>
      <c r="H17" s="1"/>
      <c r="J17" s="1"/>
      <c r="L17" s="1"/>
      <c r="N17" s="1"/>
      <c r="P17" s="1"/>
      <c r="R17" s="1"/>
    </row>
    <row r="18" spans="1:19" x14ac:dyDescent="0.25">
      <c r="B18" s="1"/>
      <c r="D18" s="1"/>
      <c r="F18" s="1"/>
      <c r="H18" s="1"/>
      <c r="J18" s="1"/>
      <c r="L18" s="1"/>
      <c r="N18" s="1"/>
      <c r="P18" s="1"/>
      <c r="R18" s="1"/>
    </row>
    <row r="19" spans="1:19" x14ac:dyDescent="0.25">
      <c r="A19" t="s">
        <v>107</v>
      </c>
      <c r="B19" t="s">
        <v>81</v>
      </c>
      <c r="C19" t="s">
        <v>82</v>
      </c>
      <c r="D19" t="s">
        <v>81</v>
      </c>
      <c r="E19" t="s">
        <v>82</v>
      </c>
      <c r="F19" t="s">
        <v>81</v>
      </c>
      <c r="G19" t="s">
        <v>82</v>
      </c>
      <c r="H19" t="s">
        <v>81</v>
      </c>
      <c r="I19" t="s">
        <v>82</v>
      </c>
      <c r="J19" t="s">
        <v>81</v>
      </c>
      <c r="K19" t="s">
        <v>82</v>
      </c>
      <c r="L19" t="s">
        <v>81</v>
      </c>
      <c r="M19" t="s">
        <v>82</v>
      </c>
      <c r="N19" t="s">
        <v>81</v>
      </c>
      <c r="O19" t="s">
        <v>82</v>
      </c>
      <c r="P19" t="s">
        <v>81</v>
      </c>
      <c r="Q19" t="s">
        <v>82</v>
      </c>
      <c r="R19" t="s">
        <v>81</v>
      </c>
      <c r="S19" t="s">
        <v>82</v>
      </c>
    </row>
    <row r="20" spans="1:19" x14ac:dyDescent="0.25">
      <c r="B20" t="s">
        <v>112</v>
      </c>
      <c r="C20" t="s">
        <v>112</v>
      </c>
      <c r="D20" t="s">
        <v>83</v>
      </c>
      <c r="E20" t="s">
        <v>83</v>
      </c>
      <c r="F20" t="s">
        <v>84</v>
      </c>
      <c r="G20" t="s">
        <v>84</v>
      </c>
      <c r="H20" t="s">
        <v>85</v>
      </c>
      <c r="I20" t="s">
        <v>85</v>
      </c>
      <c r="J20" t="s">
        <v>86</v>
      </c>
      <c r="K20" t="s">
        <v>86</v>
      </c>
      <c r="L20" t="s">
        <v>87</v>
      </c>
      <c r="M20" t="s">
        <v>87</v>
      </c>
      <c r="N20" t="s">
        <v>88</v>
      </c>
      <c r="O20" t="s">
        <v>88</v>
      </c>
      <c r="P20" t="s">
        <v>4</v>
      </c>
      <c r="Q20" t="s">
        <v>4</v>
      </c>
      <c r="R20" t="s">
        <v>6</v>
      </c>
      <c r="S20" t="s">
        <v>6</v>
      </c>
    </row>
    <row r="21" spans="1:19" x14ac:dyDescent="0.25">
      <c r="B21">
        <v>6794144</v>
      </c>
      <c r="C21">
        <v>7424760</v>
      </c>
      <c r="D21">
        <v>20762578</v>
      </c>
      <c r="E21">
        <v>17681618</v>
      </c>
      <c r="F21">
        <v>277762</v>
      </c>
      <c r="G21">
        <v>285684</v>
      </c>
      <c r="H21">
        <v>15.24</v>
      </c>
      <c r="I21">
        <v>14.18</v>
      </c>
      <c r="J21">
        <v>20</v>
      </c>
      <c r="K21">
        <v>14</v>
      </c>
      <c r="L21">
        <v>1499</v>
      </c>
      <c r="M21">
        <v>1497</v>
      </c>
      <c r="N21">
        <v>1.5442232E-2</v>
      </c>
      <c r="O21">
        <v>1.4378899000000001E-2</v>
      </c>
      <c r="P21">
        <v>1.1264E-2</v>
      </c>
      <c r="Q21">
        <v>1.1186E-2</v>
      </c>
      <c r="R21">
        <v>4.0949999999999997E-3</v>
      </c>
      <c r="S21">
        <v>3.0339999999999998E-3</v>
      </c>
    </row>
    <row r="22" spans="1:19" x14ac:dyDescent="0.25">
      <c r="B22">
        <v>6521714</v>
      </c>
      <c r="C22">
        <v>7527098</v>
      </c>
      <c r="D22">
        <v>16740216</v>
      </c>
      <c r="E22">
        <v>17678258</v>
      </c>
      <c r="F22">
        <v>276618</v>
      </c>
      <c r="G22">
        <v>328136</v>
      </c>
      <c r="H22">
        <v>13.07</v>
      </c>
      <c r="I22">
        <v>14.21</v>
      </c>
      <c r="J22">
        <v>13</v>
      </c>
      <c r="K22">
        <v>16</v>
      </c>
      <c r="L22">
        <v>1498</v>
      </c>
      <c r="M22">
        <v>1497</v>
      </c>
      <c r="N22">
        <v>1.3259976999999999E-2</v>
      </c>
      <c r="O22">
        <v>1.4419157E-2</v>
      </c>
      <c r="P22">
        <v>9.1260000000000004E-3</v>
      </c>
      <c r="Q22">
        <v>9.1750000000000009E-3</v>
      </c>
      <c r="R22">
        <v>4.0509999999999999E-3</v>
      </c>
      <c r="S22">
        <v>5.0850000000000001E-3</v>
      </c>
    </row>
    <row r="23" spans="1:19" x14ac:dyDescent="0.25">
      <c r="B23">
        <v>6684010</v>
      </c>
      <c r="C23">
        <v>7360642</v>
      </c>
      <c r="D23">
        <v>1254633024</v>
      </c>
      <c r="E23">
        <v>1862360076</v>
      </c>
      <c r="F23">
        <v>505272</v>
      </c>
      <c r="G23">
        <v>1489938</v>
      </c>
      <c r="H23">
        <v>632.13</v>
      </c>
      <c r="I23">
        <v>937.57</v>
      </c>
      <c r="J23">
        <v>167275</v>
      </c>
      <c r="K23">
        <v>222585</v>
      </c>
      <c r="L23">
        <v>1499</v>
      </c>
      <c r="M23">
        <v>1498</v>
      </c>
      <c r="N23">
        <v>0.633304058</v>
      </c>
      <c r="O23">
        <v>0.938120383</v>
      </c>
      <c r="P23">
        <v>0.346136</v>
      </c>
      <c r="Q23">
        <v>0.51998599999999995</v>
      </c>
      <c r="R23">
        <v>0.28420000000000001</v>
      </c>
      <c r="S23">
        <v>0.40453099999999997</v>
      </c>
    </row>
    <row r="24" spans="1:19" x14ac:dyDescent="0.25">
      <c r="B24">
        <v>6632092</v>
      </c>
      <c r="C24">
        <v>7293802</v>
      </c>
      <c r="D24">
        <v>20659824</v>
      </c>
      <c r="E24">
        <v>15356742</v>
      </c>
      <c r="F24">
        <v>279134</v>
      </c>
      <c r="G24">
        <v>304620</v>
      </c>
      <c r="H24">
        <v>15.1</v>
      </c>
      <c r="I24">
        <v>12.36</v>
      </c>
      <c r="J24">
        <v>15</v>
      </c>
      <c r="K24">
        <v>18</v>
      </c>
      <c r="L24">
        <v>1498</v>
      </c>
      <c r="M24">
        <v>1496</v>
      </c>
      <c r="N24">
        <v>1.5291562999999999E-2</v>
      </c>
      <c r="O24">
        <v>1.3163330000000001E-2</v>
      </c>
      <c r="P24">
        <v>1.218E-2</v>
      </c>
      <c r="Q24">
        <v>5.7419999999999997E-3</v>
      </c>
      <c r="R24">
        <v>3.029E-3</v>
      </c>
      <c r="S24">
        <v>6.6680000000000003E-3</v>
      </c>
    </row>
    <row r="25" spans="1:19" x14ac:dyDescent="0.25">
      <c r="B25">
        <v>6810702</v>
      </c>
      <c r="C25">
        <v>7143328</v>
      </c>
      <c r="D25">
        <v>1236084240</v>
      </c>
      <c r="E25">
        <v>911409258</v>
      </c>
      <c r="F25">
        <v>618448</v>
      </c>
      <c r="G25">
        <v>569542</v>
      </c>
      <c r="H25">
        <v>623.19000000000005</v>
      </c>
      <c r="I25">
        <v>461.1</v>
      </c>
      <c r="J25">
        <v>159282</v>
      </c>
      <c r="K25">
        <v>117870</v>
      </c>
      <c r="L25">
        <v>1499</v>
      </c>
      <c r="M25">
        <v>1496</v>
      </c>
      <c r="N25">
        <v>0.62358245800000001</v>
      </c>
      <c r="O25">
        <v>0.46141727300000002</v>
      </c>
      <c r="P25">
        <v>0.35312399999999999</v>
      </c>
      <c r="Q25">
        <v>0.27239999999999998</v>
      </c>
      <c r="R25">
        <v>0.26830999999999999</v>
      </c>
      <c r="S25">
        <v>0.182642</v>
      </c>
    </row>
    <row r="26" spans="1:19" x14ac:dyDescent="0.25">
      <c r="B26">
        <v>6552902</v>
      </c>
      <c r="C26">
        <v>7200294</v>
      </c>
      <c r="D26">
        <v>1322806470</v>
      </c>
      <c r="E26">
        <v>1612140494</v>
      </c>
      <c r="F26">
        <v>664564</v>
      </c>
      <c r="G26">
        <v>481556</v>
      </c>
      <c r="H26">
        <v>666.43</v>
      </c>
      <c r="I26">
        <v>811.21</v>
      </c>
      <c r="J26">
        <v>167998</v>
      </c>
      <c r="K26">
        <v>197189</v>
      </c>
      <c r="L26">
        <v>1498</v>
      </c>
      <c r="M26">
        <v>1498</v>
      </c>
      <c r="N26">
        <v>0.66686620399999996</v>
      </c>
      <c r="O26">
        <v>0.81172485999999999</v>
      </c>
      <c r="P26">
        <v>0.37460900000000003</v>
      </c>
      <c r="Q26">
        <v>0.45470699999999997</v>
      </c>
      <c r="R26">
        <v>0.28991800000000001</v>
      </c>
      <c r="S26">
        <v>0.34536499999999998</v>
      </c>
    </row>
    <row r="27" spans="1:19" x14ac:dyDescent="0.25">
      <c r="B27">
        <v>6628830</v>
      </c>
      <c r="C27">
        <v>7123520</v>
      </c>
      <c r="D27">
        <v>18717296</v>
      </c>
      <c r="E27">
        <v>19740176</v>
      </c>
      <c r="F27">
        <v>285070</v>
      </c>
      <c r="G27">
        <v>340530</v>
      </c>
      <c r="H27">
        <v>14.11</v>
      </c>
      <c r="I27">
        <v>15.07</v>
      </c>
      <c r="J27">
        <v>14</v>
      </c>
      <c r="K27">
        <v>18</v>
      </c>
      <c r="L27">
        <v>1498</v>
      </c>
      <c r="M27">
        <v>1498</v>
      </c>
      <c r="N27">
        <v>1.4302224000000001E-2</v>
      </c>
      <c r="O27">
        <v>1.5277544000000001E-2</v>
      </c>
      <c r="P27">
        <v>1.1181999999999999E-2</v>
      </c>
      <c r="Q27">
        <v>1.21E-2</v>
      </c>
      <c r="R27">
        <v>3.0379999999999999E-3</v>
      </c>
      <c r="S27">
        <v>3.0100000000000001E-3</v>
      </c>
    </row>
    <row r="28" spans="1:19" x14ac:dyDescent="0.25">
      <c r="B28">
        <v>6499216</v>
      </c>
      <c r="C28">
        <v>7522898</v>
      </c>
      <c r="D28">
        <v>1334134160</v>
      </c>
      <c r="E28">
        <v>38731266</v>
      </c>
      <c r="F28">
        <v>568700</v>
      </c>
      <c r="G28">
        <v>286320</v>
      </c>
      <c r="H28">
        <v>671.19</v>
      </c>
      <c r="I28">
        <v>24.72</v>
      </c>
      <c r="J28">
        <v>164452</v>
      </c>
      <c r="K28">
        <v>5219</v>
      </c>
      <c r="L28">
        <v>1499</v>
      </c>
      <c r="M28">
        <v>1498</v>
      </c>
      <c r="N28">
        <v>0.67239047600000001</v>
      </c>
      <c r="O28">
        <v>2.4923527000000001E-2</v>
      </c>
      <c r="P28">
        <v>0.37296600000000002</v>
      </c>
      <c r="Q28">
        <v>1.5448999999999999E-2</v>
      </c>
      <c r="R28">
        <v>0.29619099999999998</v>
      </c>
      <c r="S28">
        <v>9.2680000000000002E-3</v>
      </c>
    </row>
    <row r="29" spans="1:19" x14ac:dyDescent="0.25">
      <c r="B29">
        <v>6567824</v>
      </c>
      <c r="C29">
        <v>7154390</v>
      </c>
      <c r="D29">
        <v>18882382</v>
      </c>
      <c r="E29">
        <v>20240336</v>
      </c>
      <c r="F29">
        <v>289890</v>
      </c>
      <c r="G29">
        <v>306820</v>
      </c>
      <c r="H29">
        <v>14.17</v>
      </c>
      <c r="I29">
        <v>15.3</v>
      </c>
      <c r="J29">
        <v>15</v>
      </c>
      <c r="K29">
        <v>16</v>
      </c>
      <c r="L29">
        <v>1499</v>
      </c>
      <c r="M29">
        <v>1496</v>
      </c>
      <c r="N29">
        <v>1.4381123000000001E-2</v>
      </c>
      <c r="O29">
        <v>1.5501292999999999E-2</v>
      </c>
      <c r="P29">
        <v>1.0486000000000001E-2</v>
      </c>
      <c r="Q29">
        <v>1.3299E-2</v>
      </c>
      <c r="R29">
        <v>3.8059999999999999E-3</v>
      </c>
      <c r="S29">
        <v>2.0430000000000001E-3</v>
      </c>
    </row>
    <row r="30" spans="1:19" x14ac:dyDescent="0.25">
      <c r="B30">
        <f>AVERAGE(B20:B29)</f>
        <v>6632381.555555556</v>
      </c>
      <c r="C30">
        <f t="shared" ref="C30:S30" si="1">AVERAGE(C20:C29)</f>
        <v>7305636.888888889</v>
      </c>
      <c r="D30">
        <f t="shared" si="1"/>
        <v>582602243.33333337</v>
      </c>
      <c r="E30">
        <f t="shared" si="1"/>
        <v>501704247.1111111</v>
      </c>
      <c r="F30">
        <f t="shared" si="1"/>
        <v>418384.22222222225</v>
      </c>
      <c r="G30">
        <f t="shared" si="1"/>
        <v>488127.33333333331</v>
      </c>
      <c r="H30">
        <f t="shared" si="1"/>
        <v>296.07</v>
      </c>
      <c r="I30">
        <f t="shared" si="1"/>
        <v>256.19111111111113</v>
      </c>
      <c r="J30">
        <f t="shared" si="1"/>
        <v>73231.555555555562</v>
      </c>
      <c r="K30">
        <f t="shared" si="1"/>
        <v>60327.222222222219</v>
      </c>
      <c r="L30">
        <f t="shared" si="1"/>
        <v>1498.5555555555557</v>
      </c>
      <c r="M30">
        <f t="shared" si="1"/>
        <v>1497.1111111111111</v>
      </c>
      <c r="N30">
        <f t="shared" si="1"/>
        <v>0.29653559055555556</v>
      </c>
      <c r="O30">
        <f t="shared" si="1"/>
        <v>0.25654736288888885</v>
      </c>
      <c r="P30">
        <f t="shared" si="1"/>
        <v>0.1667858888888889</v>
      </c>
      <c r="Q30">
        <f t="shared" si="1"/>
        <v>0.14600488888888888</v>
      </c>
      <c r="R30">
        <f t="shared" si="1"/>
        <v>0.12851533333333334</v>
      </c>
      <c r="S30">
        <f t="shared" si="1"/>
        <v>0.10684955555555556</v>
      </c>
    </row>
    <row r="31" spans="1:19" x14ac:dyDescent="0.25">
      <c r="C31">
        <f>100*C30/B30</f>
        <v>110.15103440135147</v>
      </c>
      <c r="E31">
        <f>100*E30/D30</f>
        <v>86.1143692548508</v>
      </c>
      <c r="G31">
        <f>100*G30/F30</f>
        <v>116.66963222003803</v>
      </c>
      <c r="I31">
        <f>100*I30/H30</f>
        <v>86.530587736383666</v>
      </c>
      <c r="K31">
        <f>100*K30/J30</f>
        <v>82.378725625261723</v>
      </c>
      <c r="M31">
        <f>100*M30/L30</f>
        <v>99.903610884555476</v>
      </c>
      <c r="O31">
        <f>100*O30/N30</f>
        <v>86.514864002749448</v>
      </c>
      <c r="Q31">
        <f>100*Q30/P30</f>
        <v>87.540312829555916</v>
      </c>
      <c r="S31">
        <f>100*S30/R30</f>
        <v>83.141484198167447</v>
      </c>
    </row>
    <row r="33" spans="1:19" x14ac:dyDescent="0.25">
      <c r="A33" t="s">
        <v>114</v>
      </c>
    </row>
    <row r="34" spans="1:19" x14ac:dyDescent="0.25">
      <c r="A34" t="s">
        <v>111</v>
      </c>
      <c r="B34" t="s">
        <v>81</v>
      </c>
      <c r="C34" t="s">
        <v>82</v>
      </c>
      <c r="D34" t="s">
        <v>81</v>
      </c>
      <c r="E34" t="s">
        <v>82</v>
      </c>
      <c r="F34" t="s">
        <v>81</v>
      </c>
      <c r="G34" t="s">
        <v>82</v>
      </c>
      <c r="H34" t="s">
        <v>81</v>
      </c>
      <c r="I34" t="s">
        <v>82</v>
      </c>
      <c r="J34" t="s">
        <v>81</v>
      </c>
      <c r="K34" t="s">
        <v>82</v>
      </c>
      <c r="L34" t="s">
        <v>81</v>
      </c>
      <c r="M34" t="s">
        <v>82</v>
      </c>
      <c r="N34" t="s">
        <v>81</v>
      </c>
      <c r="O34" t="s">
        <v>82</v>
      </c>
      <c r="P34" t="s">
        <v>81</v>
      </c>
      <c r="Q34" t="s">
        <v>82</v>
      </c>
      <c r="R34" t="s">
        <v>81</v>
      </c>
      <c r="S34" t="s">
        <v>82</v>
      </c>
    </row>
    <row r="35" spans="1:19" x14ac:dyDescent="0.25">
      <c r="B35" t="s">
        <v>112</v>
      </c>
      <c r="C35" t="s">
        <v>112</v>
      </c>
      <c r="D35" t="s">
        <v>83</v>
      </c>
      <c r="E35" t="s">
        <v>83</v>
      </c>
      <c r="F35" t="s">
        <v>84</v>
      </c>
      <c r="G35" t="s">
        <v>84</v>
      </c>
      <c r="H35" t="s">
        <v>85</v>
      </c>
      <c r="I35" t="s">
        <v>85</v>
      </c>
      <c r="J35" t="s">
        <v>86</v>
      </c>
      <c r="K35" t="s">
        <v>86</v>
      </c>
      <c r="L35" t="s">
        <v>87</v>
      </c>
      <c r="M35" t="s">
        <v>87</v>
      </c>
      <c r="N35" t="s">
        <v>88</v>
      </c>
      <c r="O35" t="s">
        <v>88</v>
      </c>
      <c r="P35" t="s">
        <v>4</v>
      </c>
      <c r="Q35" t="s">
        <v>4</v>
      </c>
      <c r="R35" t="s">
        <v>6</v>
      </c>
      <c r="S35" t="s">
        <v>6</v>
      </c>
    </row>
    <row r="36" spans="1:19" x14ac:dyDescent="0.25">
      <c r="B36">
        <v>36754622</v>
      </c>
      <c r="C36">
        <v>82909514</v>
      </c>
      <c r="D36">
        <v>9940895076</v>
      </c>
      <c r="E36">
        <v>7247538890</v>
      </c>
      <c r="F36">
        <v>1773560</v>
      </c>
      <c r="G36">
        <v>2059090</v>
      </c>
      <c r="H36" s="4">
        <v>4990.25</v>
      </c>
      <c r="I36" s="4">
        <v>3666.22</v>
      </c>
      <c r="N36">
        <v>4.9911050680000004</v>
      </c>
      <c r="O36">
        <v>3.6677290500000002</v>
      </c>
      <c r="P36">
        <v>4.311769</v>
      </c>
      <c r="Q36">
        <v>3.332303</v>
      </c>
      <c r="R36">
        <v>0.67086699999999999</v>
      </c>
      <c r="S36">
        <v>0.30985099999999999</v>
      </c>
    </row>
    <row r="37" spans="1:19" x14ac:dyDescent="0.25">
      <c r="B37">
        <v>37367436</v>
      </c>
      <c r="C37">
        <v>83458278</v>
      </c>
      <c r="D37">
        <v>9108389812</v>
      </c>
      <c r="E37">
        <v>419469726</v>
      </c>
      <c r="F37">
        <v>1759128</v>
      </c>
      <c r="G37">
        <v>2051258</v>
      </c>
      <c r="H37" s="4">
        <v>4573.12</v>
      </c>
      <c r="I37">
        <v>252.73</v>
      </c>
      <c r="N37">
        <v>4.5751052899999998</v>
      </c>
      <c r="O37">
        <v>0.25390410499999999</v>
      </c>
      <c r="P37">
        <v>3.7347670000000002</v>
      </c>
      <c r="Q37">
        <v>0.20283799999999999</v>
      </c>
      <c r="R37">
        <v>0.831403</v>
      </c>
      <c r="S37">
        <v>4.7717000000000002E-2</v>
      </c>
    </row>
    <row r="38" spans="1:19" x14ac:dyDescent="0.25">
      <c r="B38">
        <v>36956864</v>
      </c>
      <c r="C38">
        <v>84252754</v>
      </c>
      <c r="D38">
        <v>2943723242</v>
      </c>
      <c r="E38">
        <v>2534724188</v>
      </c>
      <c r="F38">
        <v>1778272</v>
      </c>
      <c r="G38">
        <v>2071078</v>
      </c>
      <c r="H38" s="4">
        <v>1490.9</v>
      </c>
      <c r="I38" s="4">
        <v>1311.25</v>
      </c>
      <c r="N38">
        <v>1.4925436430000001</v>
      </c>
      <c r="O38">
        <v>1.3119754370000001</v>
      </c>
      <c r="P38">
        <v>1.2957129999999999</v>
      </c>
      <c r="Q38">
        <v>1.1621379999999999</v>
      </c>
      <c r="R38">
        <v>0.19265199999999999</v>
      </c>
      <c r="S38">
        <v>0.14002400000000001</v>
      </c>
    </row>
    <row r="39" spans="1:19" x14ac:dyDescent="0.25">
      <c r="B39">
        <v>37134272</v>
      </c>
      <c r="C39">
        <v>84195678</v>
      </c>
      <c r="D39">
        <v>7135695378</v>
      </c>
      <c r="E39">
        <v>10889178732</v>
      </c>
      <c r="F39">
        <v>1742916</v>
      </c>
      <c r="G39">
        <v>2025594</v>
      </c>
      <c r="H39" s="4">
        <v>3587.08</v>
      </c>
      <c r="I39" s="4">
        <v>5488.09</v>
      </c>
      <c r="N39">
        <v>3.5885764149999999</v>
      </c>
      <c r="O39">
        <v>5.4891701079999997</v>
      </c>
      <c r="P39">
        <v>2.8540860000000001</v>
      </c>
      <c r="Q39">
        <v>4.9937480000000001</v>
      </c>
      <c r="R39">
        <v>0.72704800000000003</v>
      </c>
      <c r="S39">
        <v>0.45891199999999999</v>
      </c>
    </row>
    <row r="40" spans="1:19" x14ac:dyDescent="0.25">
      <c r="B40">
        <v>37373670</v>
      </c>
      <c r="C40">
        <v>83638560</v>
      </c>
      <c r="D40">
        <v>6974563386</v>
      </c>
      <c r="E40">
        <v>14521559992</v>
      </c>
      <c r="F40">
        <v>1725406</v>
      </c>
      <c r="G40">
        <v>2043618</v>
      </c>
      <c r="H40" s="4">
        <v>3506.73</v>
      </c>
      <c r="I40" s="4">
        <v>7302.66</v>
      </c>
      <c r="N40">
        <v>3.5081395469999999</v>
      </c>
      <c r="O40">
        <v>7.3050995270000003</v>
      </c>
      <c r="P40">
        <v>2.6974520000000002</v>
      </c>
      <c r="Q40">
        <v>6.6744560000000002</v>
      </c>
      <c r="R40">
        <v>0.80368700000000004</v>
      </c>
      <c r="S40">
        <v>0.581175</v>
      </c>
    </row>
    <row r="41" spans="1:19" x14ac:dyDescent="0.25">
      <c r="B41">
        <v>37210430</v>
      </c>
      <c r="C41">
        <v>83487226</v>
      </c>
      <c r="D41">
        <v>205541814</v>
      </c>
      <c r="E41">
        <v>7129251636</v>
      </c>
      <c r="F41">
        <v>1736600</v>
      </c>
      <c r="G41">
        <v>2075004</v>
      </c>
      <c r="H41">
        <v>122.93</v>
      </c>
      <c r="I41" s="4">
        <v>3607.19</v>
      </c>
      <c r="N41">
        <v>0.12346294100000001</v>
      </c>
      <c r="O41">
        <v>3.6088513560000002</v>
      </c>
      <c r="P41">
        <v>0.101982</v>
      </c>
      <c r="Q41">
        <v>3.269517</v>
      </c>
      <c r="R41">
        <v>2.0785000000000001E-2</v>
      </c>
      <c r="S41">
        <v>0.31381199999999998</v>
      </c>
    </row>
    <row r="42" spans="1:19" x14ac:dyDescent="0.25">
      <c r="B42">
        <v>37114968</v>
      </c>
      <c r="C42">
        <v>84352490</v>
      </c>
      <c r="D42">
        <v>7957089198</v>
      </c>
      <c r="E42">
        <v>4400255778</v>
      </c>
      <c r="F42">
        <v>1762912</v>
      </c>
      <c r="G42">
        <v>2075142</v>
      </c>
      <c r="H42" s="4">
        <v>3991.25</v>
      </c>
      <c r="I42" s="4">
        <v>2243.0500000000002</v>
      </c>
      <c r="N42">
        <v>3.9992868119999998</v>
      </c>
      <c r="O42">
        <v>2.2447867189999999</v>
      </c>
      <c r="P42">
        <v>3.1876009999999999</v>
      </c>
      <c r="Q42">
        <v>2.0005449999999998</v>
      </c>
      <c r="R42">
        <v>0.79739000000000004</v>
      </c>
      <c r="S42">
        <v>0.22753899999999999</v>
      </c>
    </row>
    <row r="43" spans="1:19" x14ac:dyDescent="0.25">
      <c r="B43">
        <v>37169160</v>
      </c>
      <c r="C43">
        <v>85889058</v>
      </c>
      <c r="D43">
        <v>423424220</v>
      </c>
      <c r="E43">
        <v>5637544012</v>
      </c>
      <c r="F43">
        <v>1777904</v>
      </c>
      <c r="G43">
        <v>2019872</v>
      </c>
      <c r="H43">
        <v>231.27</v>
      </c>
      <c r="I43" s="4">
        <v>2863.27</v>
      </c>
      <c r="N43">
        <v>0.23249117399999999</v>
      </c>
      <c r="O43">
        <v>2.8641748859999998</v>
      </c>
      <c r="P43">
        <v>0.20075699999999999</v>
      </c>
      <c r="Q43">
        <v>2.5895830000000002</v>
      </c>
      <c r="R43">
        <v>2.9973E-2</v>
      </c>
      <c r="S43">
        <v>0.25526199999999999</v>
      </c>
    </row>
    <row r="44" spans="1:19" x14ac:dyDescent="0.25">
      <c r="B44">
        <v>37037414</v>
      </c>
      <c r="C44">
        <v>85416856</v>
      </c>
      <c r="D44">
        <v>3503963276</v>
      </c>
      <c r="E44">
        <v>208776462</v>
      </c>
      <c r="F44">
        <v>1735298</v>
      </c>
      <c r="G44">
        <v>2099324</v>
      </c>
      <c r="H44" s="4">
        <v>1771.84</v>
      </c>
      <c r="I44">
        <v>149.05000000000001</v>
      </c>
      <c r="N44">
        <v>1.7726687299999999</v>
      </c>
      <c r="O44">
        <v>0.14957758600000001</v>
      </c>
      <c r="P44">
        <v>1.4044239999999999</v>
      </c>
      <c r="Q44">
        <v>0.104199</v>
      </c>
      <c r="R44">
        <v>0.36433199999999999</v>
      </c>
      <c r="S44">
        <v>4.3668999999999999E-2</v>
      </c>
    </row>
    <row r="45" spans="1:19" x14ac:dyDescent="0.25">
      <c r="B45">
        <v>36758426</v>
      </c>
      <c r="C45">
        <v>84587394</v>
      </c>
      <c r="D45">
        <v>2849034194</v>
      </c>
      <c r="E45">
        <v>219951070</v>
      </c>
      <c r="F45">
        <v>1780874</v>
      </c>
      <c r="G45">
        <v>2018976</v>
      </c>
      <c r="H45" s="4">
        <v>1443.65</v>
      </c>
      <c r="I45">
        <v>154.18</v>
      </c>
      <c r="N45">
        <v>1.4450872829999999</v>
      </c>
      <c r="O45">
        <v>0.154755383</v>
      </c>
      <c r="P45">
        <v>1.2388749999999999</v>
      </c>
      <c r="Q45">
        <v>0.113085</v>
      </c>
      <c r="R45">
        <v>0.20272799999999999</v>
      </c>
      <c r="S45">
        <v>3.9690000000000003E-2</v>
      </c>
    </row>
    <row r="46" spans="1:19" x14ac:dyDescent="0.25">
      <c r="B46">
        <f>AVERAGE(B36:B45)</f>
        <v>37087726.200000003</v>
      </c>
      <c r="C46">
        <f t="shared" ref="C46:S46" si="2">AVERAGE(C36:C45)</f>
        <v>84218780.799999997</v>
      </c>
      <c r="D46">
        <f t="shared" si="2"/>
        <v>5104231959.6000004</v>
      </c>
      <c r="E46">
        <f t="shared" si="2"/>
        <v>5320825048.6000004</v>
      </c>
      <c r="F46">
        <f t="shared" si="2"/>
        <v>1757287</v>
      </c>
      <c r="G46">
        <f t="shared" si="2"/>
        <v>2053895.6</v>
      </c>
      <c r="H46">
        <f t="shared" si="2"/>
        <v>2570.902</v>
      </c>
      <c r="I46">
        <f t="shared" si="2"/>
        <v>2703.7689999999998</v>
      </c>
      <c r="J46" t="e">
        <f t="shared" si="2"/>
        <v>#DIV/0!</v>
      </c>
      <c r="K46" t="e">
        <f t="shared" si="2"/>
        <v>#DIV/0!</v>
      </c>
      <c r="L46" t="e">
        <f t="shared" si="2"/>
        <v>#DIV/0!</v>
      </c>
      <c r="M46" t="e">
        <f t="shared" si="2"/>
        <v>#DIV/0!</v>
      </c>
      <c r="N46">
        <f t="shared" si="2"/>
        <v>2.5728466902999996</v>
      </c>
      <c r="O46">
        <f t="shared" si="2"/>
        <v>2.7050024157000001</v>
      </c>
      <c r="P46">
        <f t="shared" si="2"/>
        <v>2.1027426</v>
      </c>
      <c r="Q46">
        <f t="shared" si="2"/>
        <v>2.4442412000000004</v>
      </c>
      <c r="R46">
        <f t="shared" si="2"/>
        <v>0.46408649999999996</v>
      </c>
      <c r="S46">
        <f t="shared" si="2"/>
        <v>0.24176510000000001</v>
      </c>
    </row>
    <row r="47" spans="1:19" x14ac:dyDescent="0.25">
      <c r="C47">
        <f>100*C46/B46</f>
        <v>227.07992489439806</v>
      </c>
      <c r="E47">
        <f>100*E46/D46</f>
        <v>104.24340215559039</v>
      </c>
      <c r="G47">
        <f>100*G46/F46</f>
        <v>116.87877961881013</v>
      </c>
      <c r="I47">
        <f>100*I46/H46</f>
        <v>105.16810831373579</v>
      </c>
      <c r="O47">
        <f>100*O46/N46</f>
        <v>105.13655655808201</v>
      </c>
      <c r="Q47">
        <f>100*Q46/P46</f>
        <v>116.24062783528524</v>
      </c>
      <c r="S47">
        <f>100*S46/R46</f>
        <v>52.094835768762941</v>
      </c>
    </row>
    <row r="49" spans="1:8" x14ac:dyDescent="0.25">
      <c r="A49" t="s">
        <v>116</v>
      </c>
      <c r="B49" t="s">
        <v>117</v>
      </c>
      <c r="C49">
        <v>80711874</v>
      </c>
    </row>
    <row r="50" spans="1:8" x14ac:dyDescent="0.25">
      <c r="A50" t="s">
        <v>116</v>
      </c>
      <c r="B50" t="s">
        <v>117</v>
      </c>
      <c r="C50">
        <v>81135662</v>
      </c>
    </row>
    <row r="51" spans="1:8" x14ac:dyDescent="0.25">
      <c r="A51" t="s">
        <v>116</v>
      </c>
      <c r="B51" t="s">
        <v>117</v>
      </c>
      <c r="C51">
        <v>80718538</v>
      </c>
      <c r="F51">
        <v>1</v>
      </c>
      <c r="H51">
        <v>10</v>
      </c>
    </row>
    <row r="52" spans="1:8" x14ac:dyDescent="0.25">
      <c r="A52" t="s">
        <v>116</v>
      </c>
      <c r="B52" t="s">
        <v>117</v>
      </c>
      <c r="C52">
        <v>79176668</v>
      </c>
      <c r="E52" t="s">
        <v>118</v>
      </c>
      <c r="F52">
        <v>4</v>
      </c>
      <c r="G52" t="s">
        <v>124</v>
      </c>
      <c r="H52">
        <v>15</v>
      </c>
    </row>
    <row r="53" spans="1:8" x14ac:dyDescent="0.25">
      <c r="A53" t="s">
        <v>116</v>
      </c>
      <c r="B53" t="s">
        <v>117</v>
      </c>
      <c r="C53">
        <v>80681498</v>
      </c>
    </row>
    <row r="54" spans="1:8" x14ac:dyDescent="0.25">
      <c r="A54" t="s">
        <v>116</v>
      </c>
      <c r="B54" t="s">
        <v>117</v>
      </c>
      <c r="C54">
        <v>79617596</v>
      </c>
    </row>
    <row r="55" spans="1:8" x14ac:dyDescent="0.25">
      <c r="A55" t="s">
        <v>116</v>
      </c>
      <c r="B55" t="s">
        <v>117</v>
      </c>
      <c r="C55">
        <v>81408120</v>
      </c>
    </row>
    <row r="56" spans="1:8" x14ac:dyDescent="0.25">
      <c r="A56" t="s">
        <v>116</v>
      </c>
      <c r="B56" t="s">
        <v>117</v>
      </c>
      <c r="C56">
        <v>81039404</v>
      </c>
    </row>
    <row r="57" spans="1:8" x14ac:dyDescent="0.25">
      <c r="A57" t="s">
        <v>116</v>
      </c>
      <c r="B57" t="s">
        <v>117</v>
      </c>
      <c r="C57">
        <v>80405828</v>
      </c>
    </row>
    <row r="58" spans="1:8" x14ac:dyDescent="0.25">
      <c r="A58" t="s">
        <v>116</v>
      </c>
      <c r="B58" t="s">
        <v>117</v>
      </c>
      <c r="C58">
        <v>80177792</v>
      </c>
    </row>
    <row r="59" spans="1:8" x14ac:dyDescent="0.25">
      <c r="A59" t="s">
        <v>116</v>
      </c>
      <c r="B59" t="s">
        <v>117</v>
      </c>
      <c r="C59">
        <v>78900208</v>
      </c>
    </row>
    <row r="60" spans="1:8" x14ac:dyDescent="0.25">
      <c r="C60">
        <f>AVERAGE(C49:C59)</f>
        <v>80361198.909090906</v>
      </c>
    </row>
    <row r="61" spans="1:8" x14ac:dyDescent="0.25">
      <c r="C61">
        <f>100*C60/B46</f>
        <v>216.67868899736135</v>
      </c>
    </row>
    <row r="64" spans="1:8" x14ac:dyDescent="0.25">
      <c r="A64" t="s">
        <v>115</v>
      </c>
    </row>
    <row r="65" spans="1:19" x14ac:dyDescent="0.25">
      <c r="A65" t="s">
        <v>111</v>
      </c>
      <c r="B65" t="s">
        <v>81</v>
      </c>
      <c r="C65" t="s">
        <v>82</v>
      </c>
      <c r="D65" t="s">
        <v>81</v>
      </c>
      <c r="E65" t="s">
        <v>82</v>
      </c>
      <c r="F65" t="s">
        <v>81</v>
      </c>
      <c r="G65" t="s">
        <v>82</v>
      </c>
      <c r="H65" t="s">
        <v>81</v>
      </c>
      <c r="I65" t="s">
        <v>82</v>
      </c>
      <c r="J65" t="s">
        <v>81</v>
      </c>
      <c r="K65" t="s">
        <v>82</v>
      </c>
      <c r="L65" t="s">
        <v>81</v>
      </c>
      <c r="M65" t="s">
        <v>82</v>
      </c>
      <c r="N65" t="s">
        <v>81</v>
      </c>
      <c r="O65" t="s">
        <v>82</v>
      </c>
      <c r="P65" t="s">
        <v>81</v>
      </c>
      <c r="Q65" t="s">
        <v>82</v>
      </c>
      <c r="R65" t="s">
        <v>81</v>
      </c>
      <c r="S65" t="s">
        <v>82</v>
      </c>
    </row>
    <row r="90" spans="1:19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</row>
    <row r="91" spans="1:19" x14ac:dyDescent="0.25">
      <c r="B91" t="s">
        <v>112</v>
      </c>
      <c r="C91" t="s">
        <v>112</v>
      </c>
      <c r="D91" t="s">
        <v>83</v>
      </c>
      <c r="E91" t="s">
        <v>83</v>
      </c>
      <c r="F91" t="s">
        <v>84</v>
      </c>
      <c r="G91" t="s">
        <v>84</v>
      </c>
      <c r="H91" t="s">
        <v>85</v>
      </c>
      <c r="I91" t="s">
        <v>85</v>
      </c>
      <c r="J91" t="s">
        <v>86</v>
      </c>
      <c r="K91" t="s">
        <v>86</v>
      </c>
      <c r="L91" t="s">
        <v>87</v>
      </c>
      <c r="M91" t="s">
        <v>87</v>
      </c>
      <c r="N91" t="s">
        <v>88</v>
      </c>
      <c r="O91" t="s">
        <v>88</v>
      </c>
      <c r="P91" t="s">
        <v>4</v>
      </c>
      <c r="Q91" t="s">
        <v>4</v>
      </c>
      <c r="R91" t="s">
        <v>6</v>
      </c>
      <c r="S91" t="s">
        <v>6</v>
      </c>
    </row>
    <row r="92" spans="1:19" x14ac:dyDescent="0.25">
      <c r="B92">
        <v>34612212</v>
      </c>
      <c r="C92">
        <v>79572734</v>
      </c>
      <c r="D92">
        <v>20492934</v>
      </c>
      <c r="E92">
        <v>23186850</v>
      </c>
      <c r="F92">
        <v>1694512</v>
      </c>
      <c r="G92">
        <v>1939328</v>
      </c>
      <c r="H92">
        <v>29.37</v>
      </c>
      <c r="I92">
        <v>53.6</v>
      </c>
      <c r="N92">
        <v>2.9557461E-2</v>
      </c>
      <c r="O92">
        <v>5.3819551E-2</v>
      </c>
      <c r="P92">
        <v>1.0983E-2</v>
      </c>
      <c r="Q92">
        <v>1.4903E-2</v>
      </c>
      <c r="R92">
        <v>1.7981E-2</v>
      </c>
      <c r="S92">
        <v>3.7768000000000003E-2</v>
      </c>
    </row>
    <row r="93" spans="1:19" x14ac:dyDescent="0.25">
      <c r="B93">
        <v>34938506</v>
      </c>
      <c r="C93">
        <v>79198148</v>
      </c>
      <c r="D93">
        <v>22647302</v>
      </c>
      <c r="F93">
        <v>1668810</v>
      </c>
      <c r="G93">
        <v>1914592</v>
      </c>
      <c r="H93">
        <v>30.62</v>
      </c>
      <c r="I93" s="4"/>
      <c r="N93">
        <v>3.0804564999999999E-2</v>
      </c>
      <c r="O93">
        <v>1.2948190829999999</v>
      </c>
      <c r="P93">
        <v>1.1868E-2</v>
      </c>
      <c r="Q93">
        <v>1.1385400000000001</v>
      </c>
      <c r="R93">
        <v>1.8799E-2</v>
      </c>
      <c r="S93">
        <v>0.14382400000000001</v>
      </c>
    </row>
    <row r="94" spans="1:19" x14ac:dyDescent="0.25">
      <c r="B94">
        <v>34876348</v>
      </c>
      <c r="C94">
        <v>76997232</v>
      </c>
      <c r="D94">
        <v>22780022</v>
      </c>
      <c r="F94">
        <v>1684696</v>
      </c>
      <c r="G94">
        <v>1916386</v>
      </c>
      <c r="H94">
        <v>30.63</v>
      </c>
      <c r="I94">
        <v>62.95</v>
      </c>
      <c r="N94">
        <v>3.0820178E-2</v>
      </c>
      <c r="O94">
        <v>6.3171843000000005E-2</v>
      </c>
      <c r="P94">
        <v>1.1981E-2</v>
      </c>
      <c r="Q94">
        <v>1.9788E-2</v>
      </c>
      <c r="R94">
        <v>1.7982999999999999E-2</v>
      </c>
      <c r="S94">
        <v>4.2070999999999997E-2</v>
      </c>
    </row>
    <row r="95" spans="1:19" x14ac:dyDescent="0.25">
      <c r="B95">
        <v>34760242</v>
      </c>
      <c r="C95">
        <v>78406976</v>
      </c>
      <c r="D95">
        <v>22865308</v>
      </c>
      <c r="E95">
        <v>28433390</v>
      </c>
      <c r="F95">
        <v>1685106</v>
      </c>
      <c r="G95">
        <v>1938612</v>
      </c>
      <c r="H95">
        <v>30.6</v>
      </c>
      <c r="I95">
        <v>55.51</v>
      </c>
      <c r="N95">
        <v>3.0812345000000001E-2</v>
      </c>
      <c r="O95">
        <v>5.5756259000000002E-2</v>
      </c>
      <c r="P95">
        <v>1.1642E-2</v>
      </c>
      <c r="Q95">
        <v>1.3677E-2</v>
      </c>
      <c r="R95">
        <v>1.8433999999999999E-2</v>
      </c>
      <c r="S95">
        <v>4.0940999999999998E-2</v>
      </c>
    </row>
    <row r="96" spans="1:19" x14ac:dyDescent="0.25">
      <c r="B96">
        <v>34845778</v>
      </c>
      <c r="C96">
        <v>79646958</v>
      </c>
      <c r="D96">
        <v>16814830</v>
      </c>
      <c r="E96">
        <v>25159574</v>
      </c>
      <c r="F96">
        <v>1752342</v>
      </c>
      <c r="G96">
        <v>1943530</v>
      </c>
      <c r="H96">
        <v>27.66</v>
      </c>
      <c r="I96">
        <v>54.46</v>
      </c>
      <c r="N96">
        <v>2.7852359E-2</v>
      </c>
      <c r="O96">
        <v>5.4687674999999998E-2</v>
      </c>
      <c r="P96">
        <v>8.9890000000000005E-3</v>
      </c>
      <c r="Q96">
        <v>1.4857E-2</v>
      </c>
      <c r="R96">
        <v>1.7992999999999999E-2</v>
      </c>
      <c r="S96">
        <v>3.8655000000000002E-2</v>
      </c>
    </row>
    <row r="97" spans="2:19" x14ac:dyDescent="0.25">
      <c r="B97">
        <v>34842576</v>
      </c>
      <c r="C97">
        <v>79801666</v>
      </c>
      <c r="E97">
        <v>24096050</v>
      </c>
      <c r="F97">
        <v>1680594</v>
      </c>
      <c r="G97">
        <v>1931502</v>
      </c>
      <c r="I97">
        <v>54.02</v>
      </c>
      <c r="N97">
        <v>0.137643129</v>
      </c>
      <c r="O97">
        <v>5.4232727000000001E-2</v>
      </c>
      <c r="P97">
        <v>8.9927000000000007E-2</v>
      </c>
      <c r="Q97">
        <v>1.3894999999999999E-2</v>
      </c>
      <c r="R97">
        <v>4.6406999999999997E-2</v>
      </c>
      <c r="S97">
        <v>3.9708E-2</v>
      </c>
    </row>
    <row r="98" spans="2:19" x14ac:dyDescent="0.25">
      <c r="B98">
        <v>35174972</v>
      </c>
      <c r="C98">
        <v>79520720</v>
      </c>
      <c r="D98">
        <v>16785522</v>
      </c>
      <c r="E98">
        <v>22697458</v>
      </c>
      <c r="F98">
        <v>1627702</v>
      </c>
      <c r="G98">
        <v>1989780</v>
      </c>
      <c r="H98">
        <v>27.79</v>
      </c>
      <c r="I98">
        <v>53.19</v>
      </c>
      <c r="N98">
        <v>2.7989779999999999E-2</v>
      </c>
      <c r="O98">
        <v>5.3405776000000002E-2</v>
      </c>
      <c r="P98">
        <v>9.2770000000000005E-3</v>
      </c>
      <c r="Q98">
        <v>1.4845000000000001E-2</v>
      </c>
      <c r="R98">
        <v>1.8568999999999999E-2</v>
      </c>
      <c r="S98">
        <v>3.7634000000000001E-2</v>
      </c>
    </row>
    <row r="99" spans="2:19" x14ac:dyDescent="0.25">
      <c r="B99">
        <v>34763514</v>
      </c>
      <c r="C99">
        <v>79391344</v>
      </c>
      <c r="E99">
        <v>19285430</v>
      </c>
      <c r="F99">
        <v>1642826</v>
      </c>
      <c r="G99">
        <v>1956568</v>
      </c>
      <c r="I99">
        <v>51.42</v>
      </c>
      <c r="N99">
        <v>0.137550636</v>
      </c>
      <c r="O99">
        <v>5.1634857999999999E-2</v>
      </c>
      <c r="P99">
        <v>0.10326399999999999</v>
      </c>
      <c r="Q99">
        <v>9.9240000000000005E-3</v>
      </c>
      <c r="R99">
        <v>3.3742000000000001E-2</v>
      </c>
      <c r="S99">
        <v>4.0715000000000001E-2</v>
      </c>
    </row>
    <row r="100" spans="2:19" x14ac:dyDescent="0.25">
      <c r="B100">
        <v>35124676</v>
      </c>
      <c r="C100">
        <v>79100250</v>
      </c>
      <c r="D100">
        <v>16852684</v>
      </c>
      <c r="E100">
        <v>22943510</v>
      </c>
      <c r="F100">
        <v>1683706</v>
      </c>
      <c r="G100">
        <v>1936042</v>
      </c>
      <c r="H100">
        <v>27.79</v>
      </c>
      <c r="I100">
        <v>52.47</v>
      </c>
      <c r="N100">
        <v>2.7992591000000001E-2</v>
      </c>
      <c r="O100">
        <v>5.3296215000000001E-2</v>
      </c>
      <c r="P100">
        <v>7.9539999999999993E-3</v>
      </c>
      <c r="Q100">
        <v>1.2935E-2</v>
      </c>
      <c r="R100">
        <v>1.9903000000000001E-2</v>
      </c>
      <c r="S100">
        <v>3.8866999999999999E-2</v>
      </c>
    </row>
    <row r="101" spans="2:19" x14ac:dyDescent="0.25">
      <c r="B101">
        <v>34885024</v>
      </c>
      <c r="C101">
        <v>79921544</v>
      </c>
      <c r="D101">
        <v>18678028</v>
      </c>
      <c r="E101">
        <v>20631402</v>
      </c>
      <c r="F101">
        <v>1796870</v>
      </c>
      <c r="G101">
        <v>1943594</v>
      </c>
      <c r="H101">
        <v>28.64</v>
      </c>
      <c r="I101">
        <v>52.3</v>
      </c>
      <c r="N101">
        <v>2.8833659000000001E-2</v>
      </c>
      <c r="O101">
        <v>5.2557198999999999E-2</v>
      </c>
      <c r="P101">
        <v>9.7619999999999998E-3</v>
      </c>
      <c r="Q101">
        <v>1.3799000000000001E-2</v>
      </c>
      <c r="R101">
        <v>1.8556E-2</v>
      </c>
      <c r="S101">
        <v>3.7475000000000001E-2</v>
      </c>
    </row>
    <row r="102" spans="2:19" x14ac:dyDescent="0.25">
      <c r="B102">
        <f>AVERAGE(B92:B101)</f>
        <v>34882384.799999997</v>
      </c>
      <c r="C102">
        <f t="shared" ref="C102:S102" si="3">AVERAGE(C92:C101)</f>
        <v>79155757.200000003</v>
      </c>
      <c r="D102">
        <f t="shared" si="3"/>
        <v>19739578.75</v>
      </c>
      <c r="E102">
        <f t="shared" si="3"/>
        <v>23304208</v>
      </c>
      <c r="F102">
        <f t="shared" si="3"/>
        <v>1691716.4</v>
      </c>
      <c r="G102">
        <f t="shared" si="3"/>
        <v>1940993.4</v>
      </c>
      <c r="H102">
        <f t="shared" si="3"/>
        <v>29.137499999999996</v>
      </c>
      <c r="I102">
        <f t="shared" si="3"/>
        <v>54.43555555555556</v>
      </c>
      <c r="J102" t="e">
        <f t="shared" si="3"/>
        <v>#DIV/0!</v>
      </c>
      <c r="K102" t="e">
        <f t="shared" si="3"/>
        <v>#DIV/0!</v>
      </c>
      <c r="L102" t="e">
        <f t="shared" si="3"/>
        <v>#DIV/0!</v>
      </c>
      <c r="M102" t="e">
        <f t="shared" si="3"/>
        <v>#DIV/0!</v>
      </c>
      <c r="N102">
        <f t="shared" si="3"/>
        <v>5.0985670299999994E-2</v>
      </c>
      <c r="O102">
        <f t="shared" si="3"/>
        <v>0.1787381186</v>
      </c>
      <c r="P102">
        <f t="shared" si="3"/>
        <v>2.7564700000000004E-2</v>
      </c>
      <c r="Q102">
        <f t="shared" si="3"/>
        <v>0.12671629999999998</v>
      </c>
      <c r="R102">
        <f t="shared" si="3"/>
        <v>2.2836699999999998E-2</v>
      </c>
      <c r="S102">
        <f t="shared" si="3"/>
        <v>4.9765799999999999E-2</v>
      </c>
    </row>
    <row r="103" spans="2:19" x14ac:dyDescent="0.25">
      <c r="C103">
        <f>100*C102/B102</f>
        <v>226.92186229193828</v>
      </c>
      <c r="E103">
        <f>100*E102/D102</f>
        <v>118.05828429849345</v>
      </c>
      <c r="G103">
        <f>100*G102/F102</f>
        <v>114.73515300791551</v>
      </c>
      <c r="I103">
        <f>100*I102/H102</f>
        <v>186.82301348968019</v>
      </c>
      <c r="K103" t="e">
        <f>100*K102/J102</f>
        <v>#DIV/0!</v>
      </c>
      <c r="M103" t="e">
        <f>100*M102/L102</f>
        <v>#DIV/0!</v>
      </c>
      <c r="O103">
        <f>100*O102/N102</f>
        <v>350.56539915686864</v>
      </c>
      <c r="Q103">
        <f>100*Q102/P102</f>
        <v>459.7049849989296</v>
      </c>
      <c r="S103">
        <f>100*S102/R102</f>
        <v>217.92027744814271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9ECBE-3C61-433B-AD04-CF6BE20902EF}">
  <dimension ref="A1:S103"/>
  <sheetViews>
    <sheetView topLeftCell="A82" workbookViewId="0">
      <selection activeCell="E103" sqref="E103"/>
    </sheetView>
  </sheetViews>
  <sheetFormatPr defaultRowHeight="15" x14ac:dyDescent="0.25"/>
  <sheetData>
    <row r="1" spans="1:19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</row>
    <row r="2" spans="1:19" x14ac:dyDescent="0.25">
      <c r="B2" t="s">
        <v>112</v>
      </c>
      <c r="C2" t="s">
        <v>112</v>
      </c>
      <c r="D2" t="s">
        <v>83</v>
      </c>
      <c r="E2" t="s">
        <v>83</v>
      </c>
      <c r="F2" t="s">
        <v>84</v>
      </c>
      <c r="G2" t="s">
        <v>84</v>
      </c>
      <c r="H2" t="s">
        <v>85</v>
      </c>
      <c r="I2" t="s">
        <v>85</v>
      </c>
      <c r="J2" t="s">
        <v>86</v>
      </c>
      <c r="K2" t="s">
        <v>86</v>
      </c>
      <c r="L2" t="s">
        <v>87</v>
      </c>
      <c r="M2" t="s">
        <v>87</v>
      </c>
      <c r="N2" t="s">
        <v>88</v>
      </c>
      <c r="O2" t="s">
        <v>88</v>
      </c>
      <c r="P2" t="s">
        <v>4</v>
      </c>
      <c r="Q2" t="s">
        <v>4</v>
      </c>
      <c r="R2" t="s">
        <v>6</v>
      </c>
      <c r="S2" t="s">
        <v>6</v>
      </c>
    </row>
    <row r="3" spans="1:19" x14ac:dyDescent="0.25">
      <c r="B3">
        <v>37918870</v>
      </c>
      <c r="C3">
        <v>84164156</v>
      </c>
      <c r="D3">
        <v>1594240</v>
      </c>
      <c r="E3">
        <v>3706024</v>
      </c>
      <c r="F3">
        <v>1807212</v>
      </c>
      <c r="G3">
        <v>2015936</v>
      </c>
      <c r="H3">
        <v>21.72</v>
      </c>
      <c r="I3">
        <v>46.15</v>
      </c>
      <c r="J3">
        <v>8</v>
      </c>
      <c r="K3">
        <v>9</v>
      </c>
      <c r="L3">
        <v>597</v>
      </c>
      <c r="M3">
        <v>597</v>
      </c>
      <c r="N3">
        <v>2.1882484000000001E-2</v>
      </c>
      <c r="O3">
        <v>4.6339057000000003E-2</v>
      </c>
      <c r="P3">
        <v>2.0010000000000002E-3</v>
      </c>
      <c r="Q3">
        <v>5.9909999999999998E-3</v>
      </c>
      <c r="R3">
        <v>1.9037999999999999E-2</v>
      </c>
      <c r="S3">
        <v>3.9956999999999999E-2</v>
      </c>
    </row>
    <row r="4" spans="1:19" x14ac:dyDescent="0.25">
      <c r="B4">
        <v>37614792</v>
      </c>
      <c r="C4">
        <v>82244680</v>
      </c>
      <c r="D4">
        <v>1583710</v>
      </c>
      <c r="E4">
        <v>3700452</v>
      </c>
      <c r="F4">
        <v>1854750</v>
      </c>
      <c r="G4">
        <v>1967368</v>
      </c>
      <c r="H4">
        <v>21.61</v>
      </c>
      <c r="I4">
        <v>45.17</v>
      </c>
      <c r="J4">
        <v>9</v>
      </c>
      <c r="K4">
        <v>9</v>
      </c>
      <c r="L4">
        <v>598</v>
      </c>
      <c r="M4">
        <v>596</v>
      </c>
      <c r="N4">
        <v>2.1786148000000002E-2</v>
      </c>
      <c r="O4">
        <v>4.5377734000000003E-2</v>
      </c>
      <c r="P4">
        <v>2.098E-3</v>
      </c>
      <c r="Q4">
        <v>4.8729999999999997E-3</v>
      </c>
      <c r="R4">
        <v>1.8883E-2</v>
      </c>
      <c r="S4">
        <v>3.9947000000000003E-2</v>
      </c>
    </row>
    <row r="5" spans="1:19" x14ac:dyDescent="0.25">
      <c r="B5">
        <v>37699168</v>
      </c>
      <c r="C5">
        <v>82974356</v>
      </c>
      <c r="D5">
        <v>1586594</v>
      </c>
      <c r="E5">
        <v>3825828</v>
      </c>
      <c r="F5">
        <v>1695612</v>
      </c>
      <c r="G5">
        <v>1960510</v>
      </c>
      <c r="H5">
        <v>21.57</v>
      </c>
      <c r="I5">
        <v>45.57</v>
      </c>
      <c r="J5">
        <v>8</v>
      </c>
      <c r="K5">
        <v>8</v>
      </c>
      <c r="L5">
        <v>595</v>
      </c>
      <c r="M5">
        <v>596</v>
      </c>
      <c r="N5">
        <v>2.1727887000000001E-2</v>
      </c>
      <c r="O5">
        <v>4.5743132999999998E-2</v>
      </c>
      <c r="P5">
        <v>1.9980000000000002E-3</v>
      </c>
      <c r="Q5">
        <v>4.927E-3</v>
      </c>
      <c r="R5">
        <v>1.9029999999999998E-2</v>
      </c>
      <c r="S5">
        <v>4.0446000000000003E-2</v>
      </c>
    </row>
    <row r="6" spans="1:19" x14ac:dyDescent="0.25">
      <c r="B6">
        <v>37347026</v>
      </c>
      <c r="C6">
        <v>82691268</v>
      </c>
      <c r="D6">
        <v>1572494</v>
      </c>
      <c r="E6">
        <v>3852700</v>
      </c>
      <c r="F6">
        <v>1716470</v>
      </c>
      <c r="G6">
        <v>1962708</v>
      </c>
      <c r="H6">
        <v>21.4</v>
      </c>
      <c r="I6">
        <v>45.44</v>
      </c>
      <c r="J6">
        <v>8</v>
      </c>
      <c r="K6">
        <v>9</v>
      </c>
      <c r="L6">
        <v>597</v>
      </c>
      <c r="M6">
        <v>597</v>
      </c>
      <c r="N6">
        <v>2.1562211000000001E-2</v>
      </c>
      <c r="O6">
        <v>4.5612490999999998E-2</v>
      </c>
      <c r="P6">
        <v>3.003E-3</v>
      </c>
      <c r="Q6">
        <v>8.0389999999999993E-3</v>
      </c>
      <c r="R6">
        <v>1.8030999999999998E-2</v>
      </c>
      <c r="S6">
        <v>3.7199999999999997E-2</v>
      </c>
    </row>
    <row r="7" spans="1:19" x14ac:dyDescent="0.25">
      <c r="B7">
        <v>38188402</v>
      </c>
      <c r="C7">
        <v>83738198</v>
      </c>
      <c r="D7">
        <v>1579336</v>
      </c>
      <c r="E7">
        <v>3895130</v>
      </c>
      <c r="F7">
        <v>1675898</v>
      </c>
      <c r="G7">
        <v>1963128</v>
      </c>
      <c r="H7">
        <v>21.76</v>
      </c>
      <c r="I7">
        <v>46.05</v>
      </c>
      <c r="J7">
        <v>9</v>
      </c>
      <c r="K7">
        <v>11</v>
      </c>
      <c r="L7">
        <v>597</v>
      </c>
      <c r="M7">
        <v>597</v>
      </c>
      <c r="N7">
        <v>2.192622E-2</v>
      </c>
      <c r="O7">
        <v>4.6230199E-2</v>
      </c>
      <c r="P7">
        <v>4.1520000000000003E-3</v>
      </c>
      <c r="Q7">
        <v>3.8939999999999999E-3</v>
      </c>
      <c r="R7">
        <v>1.7654E-2</v>
      </c>
      <c r="S7">
        <v>4.1938000000000003E-2</v>
      </c>
    </row>
    <row r="8" spans="1:19" x14ac:dyDescent="0.25">
      <c r="B8">
        <v>37208010</v>
      </c>
      <c r="C8">
        <v>83754322</v>
      </c>
      <c r="D8">
        <v>1575442</v>
      </c>
      <c r="E8">
        <v>3855468</v>
      </c>
      <c r="F8">
        <v>1651506</v>
      </c>
      <c r="G8">
        <v>1960038</v>
      </c>
      <c r="H8">
        <v>21.3</v>
      </c>
      <c r="I8">
        <v>45.96</v>
      </c>
      <c r="J8">
        <v>8</v>
      </c>
      <c r="K8">
        <v>10</v>
      </c>
      <c r="L8">
        <v>596</v>
      </c>
      <c r="M8">
        <v>597</v>
      </c>
      <c r="N8">
        <v>2.1458205000000001E-2</v>
      </c>
      <c r="O8">
        <v>4.6132878000000002E-2</v>
      </c>
      <c r="P8">
        <v>2.0010000000000002E-3</v>
      </c>
      <c r="Q8">
        <v>6.9620000000000003E-3</v>
      </c>
      <c r="R8">
        <v>1.9030999999999999E-2</v>
      </c>
      <c r="S8">
        <v>3.8802999999999997E-2</v>
      </c>
    </row>
    <row r="9" spans="1:19" x14ac:dyDescent="0.25">
      <c r="B9">
        <v>37881768</v>
      </c>
      <c r="C9">
        <v>82526472</v>
      </c>
      <c r="D9">
        <v>1558348</v>
      </c>
      <c r="E9">
        <v>3800742</v>
      </c>
      <c r="F9">
        <v>1771756</v>
      </c>
      <c r="G9">
        <v>1962822</v>
      </c>
      <c r="H9">
        <v>21.68</v>
      </c>
      <c r="I9">
        <v>45.39</v>
      </c>
      <c r="J9">
        <v>8</v>
      </c>
      <c r="K9">
        <v>9</v>
      </c>
      <c r="L9">
        <v>596</v>
      </c>
      <c r="M9">
        <v>597</v>
      </c>
      <c r="N9">
        <v>2.1840161E-2</v>
      </c>
      <c r="O9">
        <v>4.6121461000000002E-2</v>
      </c>
      <c r="P9">
        <v>1.9989999999999999E-3</v>
      </c>
      <c r="Q9">
        <v>6.7320000000000001E-3</v>
      </c>
      <c r="R9">
        <v>1.9032E-2</v>
      </c>
      <c r="S9">
        <v>3.8442999999999998E-2</v>
      </c>
    </row>
    <row r="10" spans="1:19" x14ac:dyDescent="0.25">
      <c r="B10">
        <v>37761880</v>
      </c>
      <c r="C10">
        <v>83127532</v>
      </c>
      <c r="D10">
        <v>1563836</v>
      </c>
      <c r="E10">
        <v>3776386</v>
      </c>
      <c r="F10">
        <v>1660860</v>
      </c>
      <c r="G10">
        <v>1972282</v>
      </c>
      <c r="H10">
        <v>21.56</v>
      </c>
      <c r="I10">
        <v>45.62</v>
      </c>
      <c r="J10">
        <v>8</v>
      </c>
      <c r="K10">
        <v>10</v>
      </c>
      <c r="L10">
        <v>595</v>
      </c>
      <c r="M10">
        <v>597</v>
      </c>
      <c r="N10">
        <v>2.1719176999999999E-2</v>
      </c>
      <c r="O10">
        <v>4.5796128999999998E-2</v>
      </c>
      <c r="P10">
        <v>2E-3</v>
      </c>
      <c r="Q10">
        <v>3.0279999999999999E-3</v>
      </c>
      <c r="R10">
        <v>1.9026999999999999E-2</v>
      </c>
      <c r="S10">
        <v>4.2396999999999997E-2</v>
      </c>
    </row>
    <row r="11" spans="1:19" x14ac:dyDescent="0.25">
      <c r="B11">
        <v>37875210</v>
      </c>
      <c r="C11">
        <v>83798010</v>
      </c>
      <c r="D11">
        <v>1559388</v>
      </c>
      <c r="E11">
        <v>3725706</v>
      </c>
      <c r="F11">
        <v>1704630</v>
      </c>
      <c r="G11">
        <v>1972578</v>
      </c>
      <c r="H11">
        <v>21.65</v>
      </c>
      <c r="I11">
        <v>45.96</v>
      </c>
      <c r="J11">
        <v>8</v>
      </c>
      <c r="K11">
        <v>10</v>
      </c>
      <c r="L11">
        <v>595</v>
      </c>
      <c r="M11">
        <v>596</v>
      </c>
      <c r="N11">
        <v>2.1806150999999999E-2</v>
      </c>
      <c r="O11">
        <v>4.6167966999999997E-2</v>
      </c>
      <c r="P11">
        <v>3.0019999999999999E-3</v>
      </c>
      <c r="Q11">
        <v>3.8930000000000002E-3</v>
      </c>
      <c r="R11">
        <v>1.8022E-2</v>
      </c>
      <c r="S11">
        <v>4.1856999999999998E-2</v>
      </c>
    </row>
    <row r="12" spans="1:19" x14ac:dyDescent="0.25">
      <c r="B12">
        <v>37822382</v>
      </c>
      <c r="C12">
        <v>82992268</v>
      </c>
      <c r="D12">
        <v>1622110</v>
      </c>
      <c r="E12">
        <v>3816590</v>
      </c>
      <c r="F12">
        <v>1682568</v>
      </c>
      <c r="G12">
        <v>1993320</v>
      </c>
      <c r="H12">
        <v>21.63</v>
      </c>
      <c r="I12">
        <v>45.6</v>
      </c>
      <c r="J12">
        <v>8</v>
      </c>
      <c r="K12">
        <v>9</v>
      </c>
      <c r="L12">
        <v>596</v>
      </c>
      <c r="M12">
        <v>597</v>
      </c>
      <c r="N12">
        <v>2.1788306E-2</v>
      </c>
      <c r="O12">
        <v>4.5770547000000002E-2</v>
      </c>
      <c r="P12">
        <v>0</v>
      </c>
      <c r="Q12">
        <v>4.0359999999999997E-3</v>
      </c>
      <c r="R12">
        <v>2.1700000000000001E-2</v>
      </c>
      <c r="S12">
        <v>4.1370999999999998E-2</v>
      </c>
    </row>
    <row r="13" spans="1:19" x14ac:dyDescent="0.25">
      <c r="B13">
        <f>AVERAGE(B3:B12)</f>
        <v>37731750.799999997</v>
      </c>
      <c r="C13">
        <f t="shared" ref="C13:S13" si="0">AVERAGE(C3:C12)</f>
        <v>83201126.200000003</v>
      </c>
      <c r="D13">
        <f t="shared" si="0"/>
        <v>1579549.8</v>
      </c>
      <c r="E13">
        <f t="shared" si="0"/>
        <v>3795502.6</v>
      </c>
      <c r="F13">
        <f t="shared" si="0"/>
        <v>1722126.2</v>
      </c>
      <c r="G13">
        <f t="shared" si="0"/>
        <v>1973069</v>
      </c>
      <c r="H13">
        <f t="shared" si="0"/>
        <v>21.588000000000001</v>
      </c>
      <c r="I13">
        <f t="shared" si="0"/>
        <v>45.690999999999995</v>
      </c>
      <c r="J13">
        <f t="shared" si="0"/>
        <v>8.1999999999999993</v>
      </c>
      <c r="K13">
        <f t="shared" si="0"/>
        <v>9.4</v>
      </c>
      <c r="L13">
        <f t="shared" si="0"/>
        <v>596.20000000000005</v>
      </c>
      <c r="M13">
        <f t="shared" si="0"/>
        <v>596.70000000000005</v>
      </c>
      <c r="N13">
        <f t="shared" si="0"/>
        <v>2.1749694999999999E-2</v>
      </c>
      <c r="O13">
        <f t="shared" si="0"/>
        <v>4.5929159599999998E-2</v>
      </c>
      <c r="P13">
        <f t="shared" si="0"/>
        <v>2.2253999999999998E-3</v>
      </c>
      <c r="Q13">
        <f t="shared" si="0"/>
        <v>5.2375000000000008E-3</v>
      </c>
      <c r="R13">
        <f t="shared" si="0"/>
        <v>1.8944799999999998E-2</v>
      </c>
      <c r="S13">
        <f t="shared" si="0"/>
        <v>4.0235900000000005E-2</v>
      </c>
    </row>
    <row r="14" spans="1:19" x14ac:dyDescent="0.25">
      <c r="C14">
        <f>100*C13/B13</f>
        <v>220.5069323207764</v>
      </c>
      <c r="E14">
        <f>100*E13/D13</f>
        <v>240.29015102910967</v>
      </c>
      <c r="G14">
        <f>100*G13/F13</f>
        <v>114.57168469999469</v>
      </c>
      <c r="I14">
        <f>100*I13/H13</f>
        <v>211.6499907355938</v>
      </c>
      <c r="K14">
        <f>100*K13/J13</f>
        <v>114.63414634146342</v>
      </c>
      <c r="M14">
        <f>100*M13/L13</f>
        <v>100.0838644750084</v>
      </c>
      <c r="O14">
        <f>100*O13/N13</f>
        <v>211.17151114073096</v>
      </c>
      <c r="Q14">
        <f>100*Q13/P13</f>
        <v>235.3509481441539</v>
      </c>
      <c r="S14">
        <f>100*S13/R13</f>
        <v>212.38492884591028</v>
      </c>
    </row>
    <row r="16" spans="1:19" x14ac:dyDescent="0.25">
      <c r="A16" t="s">
        <v>107</v>
      </c>
      <c r="B16" t="s">
        <v>81</v>
      </c>
      <c r="C16" t="s">
        <v>82</v>
      </c>
      <c r="D16" t="s">
        <v>81</v>
      </c>
      <c r="E16" t="s">
        <v>82</v>
      </c>
      <c r="F16" t="s">
        <v>81</v>
      </c>
      <c r="G16" t="s">
        <v>82</v>
      </c>
      <c r="H16" t="s">
        <v>81</v>
      </c>
      <c r="I16" t="s">
        <v>82</v>
      </c>
      <c r="J16" t="s">
        <v>81</v>
      </c>
      <c r="K16" t="s">
        <v>82</v>
      </c>
      <c r="L16" t="s">
        <v>81</v>
      </c>
      <c r="M16" t="s">
        <v>82</v>
      </c>
      <c r="N16" t="s">
        <v>81</v>
      </c>
      <c r="O16" t="s">
        <v>82</v>
      </c>
      <c r="P16" t="s">
        <v>81</v>
      </c>
      <c r="Q16" t="s">
        <v>82</v>
      </c>
      <c r="R16" t="s">
        <v>81</v>
      </c>
      <c r="S16" t="s">
        <v>82</v>
      </c>
    </row>
    <row r="17" spans="1:19" x14ac:dyDescent="0.25">
      <c r="B17" t="s">
        <v>112</v>
      </c>
      <c r="C17" t="s">
        <v>112</v>
      </c>
      <c r="D17" t="s">
        <v>83</v>
      </c>
      <c r="E17" t="s">
        <v>83</v>
      </c>
      <c r="F17" t="s">
        <v>84</v>
      </c>
      <c r="G17" t="s">
        <v>84</v>
      </c>
      <c r="H17" t="s">
        <v>85</v>
      </c>
      <c r="I17" t="s">
        <v>85</v>
      </c>
      <c r="J17" t="s">
        <v>86</v>
      </c>
      <c r="K17" t="s">
        <v>86</v>
      </c>
      <c r="L17" t="s">
        <v>87</v>
      </c>
      <c r="M17" t="s">
        <v>87</v>
      </c>
      <c r="N17" t="s">
        <v>88</v>
      </c>
      <c r="O17" t="s">
        <v>88</v>
      </c>
      <c r="P17" t="s">
        <v>4</v>
      </c>
      <c r="Q17" t="s">
        <v>4</v>
      </c>
      <c r="R17" t="s">
        <v>6</v>
      </c>
      <c r="S17" t="s">
        <v>6</v>
      </c>
    </row>
    <row r="18" spans="1:19" x14ac:dyDescent="0.25">
      <c r="B18">
        <v>6695512</v>
      </c>
      <c r="C18">
        <v>8114664</v>
      </c>
      <c r="D18">
        <v>283590</v>
      </c>
      <c r="E18">
        <v>352326</v>
      </c>
      <c r="F18">
        <v>346886</v>
      </c>
      <c r="G18">
        <v>282718</v>
      </c>
      <c r="H18">
        <v>5.09</v>
      </c>
      <c r="I18">
        <v>7.66</v>
      </c>
      <c r="J18">
        <v>6</v>
      </c>
      <c r="K18">
        <v>9</v>
      </c>
      <c r="L18">
        <v>1499</v>
      </c>
      <c r="M18">
        <v>1502</v>
      </c>
      <c r="N18">
        <v>5.3062609999999996E-3</v>
      </c>
      <c r="O18">
        <v>4.3533597E-2</v>
      </c>
      <c r="P18">
        <v>1.0089999999999999E-3</v>
      </c>
      <c r="Q18">
        <v>2.7360000000000002E-3</v>
      </c>
      <c r="R18">
        <v>4.1809999999999998E-3</v>
      </c>
      <c r="S18">
        <v>4.5799999999999999E-3</v>
      </c>
    </row>
    <row r="19" spans="1:19" x14ac:dyDescent="0.25">
      <c r="B19">
        <v>6918330</v>
      </c>
      <c r="C19">
        <v>7900004</v>
      </c>
      <c r="D19">
        <v>248128</v>
      </c>
      <c r="E19">
        <v>250326</v>
      </c>
      <c r="F19">
        <v>353780</v>
      </c>
      <c r="G19">
        <v>279418</v>
      </c>
      <c r="H19">
        <v>5.08</v>
      </c>
      <c r="I19">
        <v>5.86</v>
      </c>
      <c r="J19">
        <v>4</v>
      </c>
      <c r="K19">
        <v>5</v>
      </c>
      <c r="L19">
        <v>1498</v>
      </c>
      <c r="M19">
        <v>1498</v>
      </c>
      <c r="N19">
        <v>5.2725330000000003E-3</v>
      </c>
      <c r="O19">
        <v>6.0659119999999997E-3</v>
      </c>
      <c r="P19">
        <v>0</v>
      </c>
      <c r="Q19">
        <v>1.993E-3</v>
      </c>
      <c r="R19">
        <v>5.2329999999999998E-3</v>
      </c>
      <c r="S19">
        <v>3.9639999999999996E-3</v>
      </c>
    </row>
    <row r="20" spans="1:19" x14ac:dyDescent="0.25">
      <c r="B20">
        <v>6774408</v>
      </c>
      <c r="C20">
        <v>7389654</v>
      </c>
      <c r="D20">
        <v>249556</v>
      </c>
      <c r="E20">
        <v>250998</v>
      </c>
      <c r="F20">
        <v>360854</v>
      </c>
      <c r="G20">
        <v>281580</v>
      </c>
      <c r="H20">
        <v>5.05</v>
      </c>
      <c r="I20">
        <v>5.42</v>
      </c>
      <c r="J20">
        <v>3</v>
      </c>
      <c r="K20">
        <v>4</v>
      </c>
      <c r="L20">
        <v>1500</v>
      </c>
      <c r="M20">
        <v>1498</v>
      </c>
      <c r="N20">
        <v>5.1999760000000003E-3</v>
      </c>
      <c r="O20">
        <v>5.6092629999999997E-3</v>
      </c>
      <c r="P20">
        <v>0</v>
      </c>
      <c r="Q20">
        <v>2.222E-3</v>
      </c>
      <c r="R20">
        <v>5.1269999999999996E-3</v>
      </c>
      <c r="S20">
        <v>3.3189999999999999E-3</v>
      </c>
    </row>
    <row r="21" spans="1:19" x14ac:dyDescent="0.25">
      <c r="B21">
        <v>6818256</v>
      </c>
      <c r="C21">
        <v>7416786</v>
      </c>
      <c r="D21">
        <v>248250</v>
      </c>
      <c r="E21">
        <v>252464</v>
      </c>
      <c r="F21">
        <v>356432</v>
      </c>
      <c r="G21">
        <v>283554</v>
      </c>
      <c r="H21">
        <v>5.04</v>
      </c>
      <c r="I21">
        <v>5.43</v>
      </c>
      <c r="J21">
        <v>4</v>
      </c>
      <c r="K21">
        <v>4</v>
      </c>
      <c r="L21">
        <v>1499</v>
      </c>
      <c r="M21">
        <v>1498</v>
      </c>
      <c r="N21">
        <v>5.2308049999999998E-3</v>
      </c>
      <c r="O21">
        <v>5.6105E-3</v>
      </c>
      <c r="P21">
        <v>1.036E-3</v>
      </c>
      <c r="Q21">
        <v>3.3300000000000001E-3</v>
      </c>
      <c r="R21">
        <v>4.143E-3</v>
      </c>
      <c r="S21">
        <v>2.2139999999999998E-3</v>
      </c>
    </row>
    <row r="22" spans="1:19" x14ac:dyDescent="0.25">
      <c r="B22">
        <v>6771008</v>
      </c>
      <c r="C22">
        <v>7290638</v>
      </c>
      <c r="D22">
        <v>247262</v>
      </c>
      <c r="E22">
        <v>268220</v>
      </c>
      <c r="F22">
        <v>345686</v>
      </c>
      <c r="G22">
        <v>293688</v>
      </c>
      <c r="H22">
        <v>4.99</v>
      </c>
      <c r="I22">
        <v>5.4</v>
      </c>
      <c r="J22">
        <v>3</v>
      </c>
      <c r="K22">
        <v>4</v>
      </c>
      <c r="L22">
        <v>1498</v>
      </c>
      <c r="M22">
        <v>1498</v>
      </c>
      <c r="N22">
        <v>5.138653E-3</v>
      </c>
      <c r="O22">
        <v>5.5959340000000003E-3</v>
      </c>
      <c r="Q22">
        <v>5.58713E-3</v>
      </c>
      <c r="R22">
        <v>5.0850000000000001E-3</v>
      </c>
      <c r="S22">
        <v>2.7690000000000002E-3</v>
      </c>
    </row>
    <row r="23" spans="1:19" x14ac:dyDescent="0.25">
      <c r="B23">
        <v>6963260</v>
      </c>
      <c r="C23">
        <v>7401922</v>
      </c>
      <c r="D23">
        <v>272026</v>
      </c>
      <c r="E23">
        <v>251782</v>
      </c>
      <c r="F23">
        <v>339978</v>
      </c>
      <c r="G23">
        <v>283824</v>
      </c>
      <c r="H23">
        <v>5.1100000000000003</v>
      </c>
      <c r="I23">
        <v>5.38</v>
      </c>
      <c r="J23">
        <v>5</v>
      </c>
      <c r="K23">
        <v>4</v>
      </c>
      <c r="L23">
        <v>1499</v>
      </c>
      <c r="M23">
        <v>1498</v>
      </c>
      <c r="N23">
        <v>5.332537E-3</v>
      </c>
      <c r="O23">
        <v>5.5959E-3</v>
      </c>
      <c r="P23">
        <v>0</v>
      </c>
      <c r="Q23">
        <v>1.1019999999999999E-3</v>
      </c>
      <c r="R23">
        <v>5.2570000000000004E-3</v>
      </c>
      <c r="S23">
        <v>4.3940000000000003E-3</v>
      </c>
    </row>
    <row r="24" spans="1:19" x14ac:dyDescent="0.25">
      <c r="B24">
        <v>6803534</v>
      </c>
      <c r="C24">
        <v>7745458</v>
      </c>
      <c r="D24">
        <v>248426</v>
      </c>
      <c r="E24">
        <v>251672</v>
      </c>
      <c r="F24">
        <v>296578</v>
      </c>
      <c r="G24">
        <v>279084</v>
      </c>
      <c r="H24">
        <v>5.0199999999999996</v>
      </c>
      <c r="I24">
        <v>5.61</v>
      </c>
      <c r="J24">
        <v>4</v>
      </c>
      <c r="K24">
        <v>4</v>
      </c>
      <c r="L24">
        <v>1498</v>
      </c>
      <c r="M24">
        <v>1497</v>
      </c>
      <c r="N24">
        <v>5.174901E-3</v>
      </c>
      <c r="O24">
        <v>5.787632E-3</v>
      </c>
      <c r="P24">
        <v>2.5720000000000001E-3</v>
      </c>
      <c r="Q24">
        <v>2.2590000000000002E-3</v>
      </c>
      <c r="R24">
        <v>2.5639999999999999E-3</v>
      </c>
      <c r="S24">
        <v>3.3739999999999998E-3</v>
      </c>
    </row>
    <row r="25" spans="1:19" x14ac:dyDescent="0.25">
      <c r="B25">
        <v>6716716</v>
      </c>
      <c r="C25">
        <v>7658158</v>
      </c>
      <c r="D25">
        <v>247434</v>
      </c>
      <c r="E25">
        <v>263636</v>
      </c>
      <c r="F25">
        <v>298864</v>
      </c>
      <c r="G25">
        <v>282100</v>
      </c>
      <c r="H25">
        <v>4.97</v>
      </c>
      <c r="I25">
        <v>5.66</v>
      </c>
      <c r="J25">
        <v>4</v>
      </c>
      <c r="K25">
        <v>6</v>
      </c>
      <c r="L25">
        <v>1499</v>
      </c>
      <c r="M25">
        <v>1498</v>
      </c>
      <c r="N25">
        <v>5.1610329999999998E-3</v>
      </c>
      <c r="O25">
        <v>5.9365529999999998E-3</v>
      </c>
      <c r="P25">
        <v>1.0280000000000001E-3</v>
      </c>
      <c r="Q25">
        <v>1.9220000000000001E-3</v>
      </c>
      <c r="R25">
        <v>4.091E-3</v>
      </c>
      <c r="S25">
        <v>3.8600000000000001E-3</v>
      </c>
    </row>
    <row r="26" spans="1:19" x14ac:dyDescent="0.25">
      <c r="B26">
        <v>6692456</v>
      </c>
      <c r="C26">
        <v>7429766</v>
      </c>
      <c r="D26">
        <v>249568</v>
      </c>
      <c r="E26">
        <v>262742</v>
      </c>
      <c r="F26">
        <v>295894</v>
      </c>
      <c r="G26">
        <v>302388</v>
      </c>
      <c r="H26">
        <v>4.92</v>
      </c>
      <c r="I26">
        <v>5.51</v>
      </c>
      <c r="J26">
        <v>3</v>
      </c>
      <c r="K26">
        <v>4</v>
      </c>
      <c r="L26">
        <v>1499</v>
      </c>
      <c r="M26">
        <v>1497</v>
      </c>
      <c r="N26">
        <v>5.075675E-3</v>
      </c>
      <c r="O26">
        <v>5.7311510000000003E-3</v>
      </c>
      <c r="P26">
        <v>1.0089999999999999E-3</v>
      </c>
      <c r="Q26">
        <v>3.3930000000000002E-3</v>
      </c>
      <c r="R26">
        <v>4.0239999999999998E-3</v>
      </c>
      <c r="S26">
        <v>2.2650000000000001E-3</v>
      </c>
    </row>
    <row r="27" spans="1:19" x14ac:dyDescent="0.25">
      <c r="B27">
        <v>6773536</v>
      </c>
      <c r="C27">
        <v>7687940</v>
      </c>
      <c r="D27">
        <v>247930</v>
      </c>
      <c r="E27">
        <v>264890</v>
      </c>
      <c r="F27">
        <v>293202</v>
      </c>
      <c r="G27">
        <v>303084</v>
      </c>
      <c r="H27">
        <v>5.01</v>
      </c>
      <c r="I27">
        <v>5.72</v>
      </c>
      <c r="J27">
        <v>5</v>
      </c>
      <c r="K27">
        <v>5</v>
      </c>
      <c r="L27">
        <v>1500</v>
      </c>
      <c r="M27">
        <v>1499</v>
      </c>
      <c r="N27">
        <v>5.1703620000000004E-3</v>
      </c>
      <c r="O27">
        <v>5.946041E-3</v>
      </c>
      <c r="P27">
        <v>2.052E-3</v>
      </c>
      <c r="Q27">
        <v>1.9400000000000001E-3</v>
      </c>
      <c r="R27">
        <v>3.0790000000000001E-3</v>
      </c>
      <c r="S27">
        <v>3.9090000000000001E-3</v>
      </c>
    </row>
    <row r="28" spans="1:19" x14ac:dyDescent="0.25">
      <c r="B28">
        <f>AVERAGE(B18:B27)</f>
        <v>6792701.5999999996</v>
      </c>
      <c r="C28">
        <f>AVERAGE(C18:C27)</f>
        <v>7603499</v>
      </c>
      <c r="D28">
        <f t="shared" ref="D28:R28" si="1">AVERAGE(D18:D27)</f>
        <v>254217</v>
      </c>
      <c r="E28">
        <f>AVERAGE(E18:E27)</f>
        <v>266905.59999999998</v>
      </c>
      <c r="F28">
        <f t="shared" si="1"/>
        <v>328815.40000000002</v>
      </c>
      <c r="G28">
        <f>AVERAGE(G18:G27)</f>
        <v>287143.8</v>
      </c>
      <c r="H28">
        <f t="shared" si="1"/>
        <v>5.0279999999999996</v>
      </c>
      <c r="I28">
        <f>AVERAGE(I18:I27)</f>
        <v>5.7649999999999997</v>
      </c>
      <c r="J28">
        <f t="shared" si="1"/>
        <v>4.0999999999999996</v>
      </c>
      <c r="K28">
        <f>AVERAGE(K18:K27)</f>
        <v>4.9000000000000004</v>
      </c>
      <c r="L28">
        <f t="shared" si="1"/>
        <v>1498.9</v>
      </c>
      <c r="M28">
        <f>AVERAGE(M18:M27)</f>
        <v>1498.3</v>
      </c>
      <c r="N28">
        <f t="shared" si="1"/>
        <v>5.2062736000000002E-3</v>
      </c>
      <c r="O28">
        <f>AVERAGE(O18:O27)</f>
        <v>9.541248300000001E-3</v>
      </c>
      <c r="P28">
        <f t="shared" si="1"/>
        <v>9.6733333333333339E-4</v>
      </c>
      <c r="Q28">
        <f>AVERAGE(Q18:Q27)</f>
        <v>2.6484130000000001E-3</v>
      </c>
      <c r="R28">
        <f t="shared" si="1"/>
        <v>4.2783999999999999E-3</v>
      </c>
      <c r="S28">
        <f>AVERAGE(S18:S27)</f>
        <v>3.4647999999999997E-3</v>
      </c>
    </row>
    <row r="29" spans="1:19" x14ac:dyDescent="0.25">
      <c r="C29">
        <f>100*C28/B28</f>
        <v>111.9363023395581</v>
      </c>
      <c r="E29">
        <f>100*E28/D28</f>
        <v>104.99124763489458</v>
      </c>
      <c r="G29">
        <f>100*G28/F28</f>
        <v>87.326749294588993</v>
      </c>
      <c r="I29">
        <f>100*I28/H28</f>
        <v>114.65791567223549</v>
      </c>
      <c r="K29">
        <f>100*K28/J28</f>
        <v>119.51219512195124</v>
      </c>
      <c r="M29">
        <f>100*M28/L28</f>
        <v>99.959970645139762</v>
      </c>
      <c r="O29">
        <f>100*O28/N28</f>
        <v>183.26444272924883</v>
      </c>
      <c r="Q29">
        <f>100*Q28/P28</f>
        <v>273.78494141971055</v>
      </c>
      <c r="S29">
        <f>100*S28/R28</f>
        <v>80.983545250560951</v>
      </c>
    </row>
    <row r="31" spans="1:19" x14ac:dyDescent="0.25">
      <c r="A31" t="s">
        <v>114</v>
      </c>
    </row>
    <row r="32" spans="1:19" x14ac:dyDescent="0.25">
      <c r="A32" t="s">
        <v>111</v>
      </c>
      <c r="B32" t="s">
        <v>81</v>
      </c>
      <c r="C32" t="s">
        <v>82</v>
      </c>
      <c r="D32" t="s">
        <v>81</v>
      </c>
      <c r="E32" t="s">
        <v>82</v>
      </c>
      <c r="F32" t="s">
        <v>81</v>
      </c>
      <c r="G32" t="s">
        <v>82</v>
      </c>
      <c r="H32" t="s">
        <v>81</v>
      </c>
      <c r="I32" t="s">
        <v>82</v>
      </c>
      <c r="J32" t="s">
        <v>81</v>
      </c>
      <c r="K32" t="s">
        <v>82</v>
      </c>
      <c r="L32" t="s">
        <v>81</v>
      </c>
      <c r="M32" t="s">
        <v>82</v>
      </c>
      <c r="N32" t="s">
        <v>81</v>
      </c>
      <c r="O32" t="s">
        <v>82</v>
      </c>
      <c r="P32" t="s">
        <v>81</v>
      </c>
      <c r="Q32" t="s">
        <v>82</v>
      </c>
      <c r="R32" t="s">
        <v>81</v>
      </c>
      <c r="S32" t="s">
        <v>82</v>
      </c>
    </row>
    <row r="33" spans="1:19" x14ac:dyDescent="0.25">
      <c r="B33" t="s">
        <v>112</v>
      </c>
      <c r="C33" t="s">
        <v>112</v>
      </c>
      <c r="D33" t="s">
        <v>83</v>
      </c>
      <c r="E33" t="s">
        <v>83</v>
      </c>
      <c r="F33" t="s">
        <v>84</v>
      </c>
      <c r="G33" t="s">
        <v>84</v>
      </c>
      <c r="H33" t="s">
        <v>85</v>
      </c>
      <c r="I33" t="s">
        <v>85</v>
      </c>
      <c r="J33" t="s">
        <v>86</v>
      </c>
      <c r="K33" t="s">
        <v>86</v>
      </c>
      <c r="L33" t="s">
        <v>87</v>
      </c>
      <c r="M33" t="s">
        <v>87</v>
      </c>
      <c r="N33" t="s">
        <v>88</v>
      </c>
      <c r="O33" t="s">
        <v>88</v>
      </c>
      <c r="P33" t="s">
        <v>4</v>
      </c>
      <c r="Q33" t="s">
        <v>4</v>
      </c>
      <c r="R33" t="s">
        <v>6</v>
      </c>
      <c r="S33" t="s">
        <v>6</v>
      </c>
    </row>
    <row r="34" spans="1:19" x14ac:dyDescent="0.25">
      <c r="B34">
        <v>37429612</v>
      </c>
      <c r="C34">
        <v>85520318</v>
      </c>
      <c r="D34">
        <v>11208404</v>
      </c>
      <c r="E34">
        <v>21548862</v>
      </c>
      <c r="F34">
        <v>1721996</v>
      </c>
      <c r="G34">
        <v>2061026</v>
      </c>
      <c r="H34">
        <v>26.23</v>
      </c>
      <c r="I34">
        <v>55.75</v>
      </c>
      <c r="N34">
        <v>2.6421571000000001E-2</v>
      </c>
      <c r="O34">
        <v>5.5963260000000001E-2</v>
      </c>
      <c r="P34">
        <v>8.0920000000000002E-3</v>
      </c>
      <c r="Q34">
        <v>1.4115000000000001E-2</v>
      </c>
      <c r="R34">
        <v>1.8211000000000001E-2</v>
      </c>
      <c r="S34">
        <v>4.1270000000000001E-2</v>
      </c>
    </row>
    <row r="35" spans="1:19" x14ac:dyDescent="0.25">
      <c r="B35">
        <v>37590664</v>
      </c>
      <c r="C35">
        <v>85235362</v>
      </c>
      <c r="D35">
        <v>11106362</v>
      </c>
      <c r="E35">
        <v>22297842</v>
      </c>
      <c r="F35">
        <v>1645052</v>
      </c>
      <c r="G35">
        <v>2067202</v>
      </c>
      <c r="H35">
        <v>26.21</v>
      </c>
      <c r="I35">
        <v>56</v>
      </c>
      <c r="N35">
        <v>2.6367620000000001E-2</v>
      </c>
      <c r="O35">
        <v>5.6186310000000003E-2</v>
      </c>
      <c r="P35">
        <v>6.0629999999999998E-3</v>
      </c>
      <c r="Q35">
        <v>1.6912E-2</v>
      </c>
      <c r="R35">
        <v>2.0220999999999999E-2</v>
      </c>
      <c r="S35">
        <v>3.8663000000000003E-2</v>
      </c>
    </row>
    <row r="36" spans="1:19" x14ac:dyDescent="0.25">
      <c r="B36">
        <v>37129012</v>
      </c>
      <c r="C36">
        <v>85649232</v>
      </c>
      <c r="D36">
        <v>11250792</v>
      </c>
      <c r="E36">
        <v>21710166</v>
      </c>
      <c r="F36">
        <v>1713218</v>
      </c>
      <c r="G36">
        <v>2136310</v>
      </c>
      <c r="H36">
        <v>26.08</v>
      </c>
      <c r="I36">
        <v>55.99</v>
      </c>
      <c r="N36">
        <v>2.6273576E-2</v>
      </c>
      <c r="O36">
        <v>5.6216857000000002E-2</v>
      </c>
      <c r="P36">
        <v>6.0350000000000004E-3</v>
      </c>
      <c r="Q36">
        <v>1.3927999999999999E-2</v>
      </c>
      <c r="R36">
        <v>2.0128E-2</v>
      </c>
      <c r="S36">
        <v>4.1750000000000002E-2</v>
      </c>
    </row>
    <row r="37" spans="1:19" x14ac:dyDescent="0.25">
      <c r="B37">
        <v>37430350</v>
      </c>
      <c r="C37">
        <v>86090870</v>
      </c>
      <c r="D37">
        <v>11200102</v>
      </c>
      <c r="E37">
        <v>22037240</v>
      </c>
      <c r="F37">
        <v>1614934</v>
      </c>
      <c r="G37">
        <v>1974578</v>
      </c>
      <c r="H37">
        <v>26.15</v>
      </c>
      <c r="I37">
        <v>56.23</v>
      </c>
      <c r="N37">
        <v>2.6303746999999999E-2</v>
      </c>
      <c r="O37">
        <v>5.6507346E-2</v>
      </c>
      <c r="P37">
        <v>8.0660000000000003E-3</v>
      </c>
      <c r="Q37">
        <v>1.5984000000000002E-2</v>
      </c>
      <c r="R37">
        <v>1.8159999999999999E-2</v>
      </c>
      <c r="S37">
        <v>3.9907999999999999E-2</v>
      </c>
    </row>
    <row r="38" spans="1:19" x14ac:dyDescent="0.25">
      <c r="B38">
        <v>37222924</v>
      </c>
      <c r="C38">
        <v>85308864</v>
      </c>
      <c r="D38">
        <v>11186628</v>
      </c>
      <c r="E38">
        <v>21746870</v>
      </c>
      <c r="F38">
        <v>1613004</v>
      </c>
      <c r="G38">
        <v>1979596</v>
      </c>
      <c r="H38">
        <v>26.05</v>
      </c>
      <c r="I38">
        <v>55.74</v>
      </c>
      <c r="N38">
        <v>2.6201173000000001E-2</v>
      </c>
      <c r="O38">
        <v>5.5920725999999997E-2</v>
      </c>
      <c r="P38">
        <v>7.0289999999999997E-3</v>
      </c>
      <c r="Q38">
        <v>1.7833999999999999E-2</v>
      </c>
      <c r="R38">
        <v>1.9082999999999999E-2</v>
      </c>
      <c r="S38">
        <v>3.7552000000000002E-2</v>
      </c>
    </row>
    <row r="39" spans="1:19" x14ac:dyDescent="0.25">
      <c r="B39">
        <v>37080626</v>
      </c>
      <c r="C39">
        <v>85892724</v>
      </c>
      <c r="D39">
        <v>11425018</v>
      </c>
      <c r="E39">
        <v>22252556</v>
      </c>
      <c r="F39">
        <v>1666096</v>
      </c>
      <c r="G39">
        <v>1976552</v>
      </c>
      <c r="H39">
        <v>26.11</v>
      </c>
      <c r="I39">
        <v>56.25</v>
      </c>
      <c r="N39">
        <v>2.6261202000000001E-2</v>
      </c>
      <c r="O39">
        <v>5.6436532999999997E-2</v>
      </c>
      <c r="P39">
        <v>6.038E-3</v>
      </c>
      <c r="Q39">
        <v>1.4992999999999999E-2</v>
      </c>
      <c r="R39">
        <v>2.0133999999999999E-2</v>
      </c>
      <c r="S39">
        <v>4.0846E-2</v>
      </c>
    </row>
    <row r="40" spans="1:19" x14ac:dyDescent="0.25">
      <c r="B40">
        <v>37510142</v>
      </c>
      <c r="C40">
        <v>85516816</v>
      </c>
      <c r="D40">
        <v>11335040</v>
      </c>
      <c r="E40">
        <v>22526984</v>
      </c>
      <c r="F40">
        <v>1676830</v>
      </c>
      <c r="G40">
        <v>2127870</v>
      </c>
      <c r="H40">
        <v>26.29</v>
      </c>
      <c r="I40">
        <v>56.25</v>
      </c>
      <c r="N40">
        <v>2.6441731E-2</v>
      </c>
      <c r="O40">
        <v>5.6532286000000001E-2</v>
      </c>
      <c r="P40">
        <v>6.0800000000000003E-3</v>
      </c>
      <c r="Q40">
        <v>1.1985000000000001E-2</v>
      </c>
      <c r="R40">
        <v>2.0275000000000001E-2</v>
      </c>
      <c r="S40">
        <v>4.3971999999999997E-2</v>
      </c>
    </row>
    <row r="41" spans="1:19" x14ac:dyDescent="0.25">
      <c r="B41">
        <v>37081050</v>
      </c>
      <c r="C41">
        <v>85754722</v>
      </c>
      <c r="D41">
        <v>11459542</v>
      </c>
      <c r="E41">
        <v>21757576</v>
      </c>
      <c r="F41">
        <v>1639398</v>
      </c>
      <c r="G41">
        <v>1983836</v>
      </c>
      <c r="H41">
        <v>26.08</v>
      </c>
      <c r="I41">
        <v>55.93</v>
      </c>
      <c r="N41">
        <v>2.6265211E-2</v>
      </c>
      <c r="O41">
        <v>5.6127142999999997E-2</v>
      </c>
      <c r="P41">
        <v>8.0450000000000001E-3</v>
      </c>
      <c r="Q41">
        <v>1.2913000000000001E-2</v>
      </c>
      <c r="R41">
        <v>1.8107999999999999E-2</v>
      </c>
      <c r="S41">
        <v>4.2625000000000003E-2</v>
      </c>
    </row>
    <row r="42" spans="1:19" x14ac:dyDescent="0.25">
      <c r="B42">
        <v>37425774</v>
      </c>
      <c r="C42">
        <v>85228248</v>
      </c>
      <c r="D42">
        <v>11186956</v>
      </c>
      <c r="E42">
        <v>21703784</v>
      </c>
      <c r="F42">
        <v>1612198</v>
      </c>
      <c r="G42">
        <v>2042814</v>
      </c>
      <c r="H42">
        <v>26.15</v>
      </c>
      <c r="I42">
        <v>55.68</v>
      </c>
      <c r="N42">
        <v>2.6300562E-2</v>
      </c>
      <c r="O42">
        <v>5.5858336000000001E-2</v>
      </c>
      <c r="P42">
        <v>9.0729999999999995E-3</v>
      </c>
      <c r="Q42">
        <v>1.6126999999999999E-2</v>
      </c>
      <c r="R42">
        <v>1.7142999999999999E-2</v>
      </c>
      <c r="S42">
        <v>3.9286000000000001E-2</v>
      </c>
    </row>
    <row r="43" spans="1:19" x14ac:dyDescent="0.25">
      <c r="B43">
        <v>37181856</v>
      </c>
      <c r="C43">
        <v>85374314</v>
      </c>
      <c r="D43">
        <v>11316254</v>
      </c>
      <c r="E43">
        <v>21662096</v>
      </c>
      <c r="F43">
        <v>1607880</v>
      </c>
      <c r="G43">
        <v>1976236</v>
      </c>
      <c r="H43">
        <v>26.04</v>
      </c>
      <c r="I43">
        <v>55.75</v>
      </c>
      <c r="N43">
        <v>2.6231101E-2</v>
      </c>
      <c r="O43">
        <v>5.5943199999999998E-2</v>
      </c>
      <c r="P43">
        <v>6.025E-3</v>
      </c>
      <c r="Q43">
        <v>1.5847E-2</v>
      </c>
      <c r="R43">
        <v>2.0102999999999999E-2</v>
      </c>
      <c r="S43">
        <v>3.9613000000000002E-2</v>
      </c>
    </row>
    <row r="44" spans="1:19" x14ac:dyDescent="0.25">
      <c r="B44">
        <f>AVERAGE(B34:B43)</f>
        <v>37308201</v>
      </c>
      <c r="C44">
        <f t="shared" ref="C44:S44" si="2">AVERAGE(C34:C43)</f>
        <v>85557147</v>
      </c>
      <c r="D44">
        <f t="shared" si="2"/>
        <v>11267509.800000001</v>
      </c>
      <c r="E44">
        <f t="shared" si="2"/>
        <v>21924397.600000001</v>
      </c>
      <c r="F44">
        <f t="shared" si="2"/>
        <v>1651060.6</v>
      </c>
      <c r="G44">
        <f t="shared" si="2"/>
        <v>2032602</v>
      </c>
      <c r="H44">
        <f t="shared" si="2"/>
        <v>26.138999999999999</v>
      </c>
      <c r="I44">
        <f t="shared" si="2"/>
        <v>55.956999999999994</v>
      </c>
      <c r="J44" t="e">
        <f t="shared" si="2"/>
        <v>#DIV/0!</v>
      </c>
      <c r="K44" t="e">
        <f t="shared" si="2"/>
        <v>#DIV/0!</v>
      </c>
      <c r="L44" t="e">
        <f t="shared" si="2"/>
        <v>#DIV/0!</v>
      </c>
      <c r="M44" t="e">
        <f t="shared" si="2"/>
        <v>#DIV/0!</v>
      </c>
      <c r="N44">
        <f t="shared" si="2"/>
        <v>2.6306749400000003E-2</v>
      </c>
      <c r="O44">
        <f t="shared" si="2"/>
        <v>5.6169199699999992E-2</v>
      </c>
      <c r="P44">
        <f t="shared" si="2"/>
        <v>7.0545999999999994E-3</v>
      </c>
      <c r="Q44">
        <f t="shared" si="2"/>
        <v>1.5063799999999999E-2</v>
      </c>
      <c r="R44">
        <f t="shared" si="2"/>
        <v>1.9156600000000003E-2</v>
      </c>
      <c r="S44">
        <f t="shared" si="2"/>
        <v>4.0548500000000001E-2</v>
      </c>
    </row>
    <row r="45" spans="1:19" x14ac:dyDescent="0.25">
      <c r="C45">
        <f>100*C44/B44</f>
        <v>229.32530839533109</v>
      </c>
      <c r="E45">
        <f>100*E44/D44</f>
        <v>194.58068365735966</v>
      </c>
      <c r="G45">
        <f>100*G44/F44</f>
        <v>123.10886711244881</v>
      </c>
      <c r="I45">
        <f>100*I44/H44</f>
        <v>214.07475419870687</v>
      </c>
      <c r="K45" t="e">
        <f>100*K44/J44</f>
        <v>#DIV/0!</v>
      </c>
      <c r="M45" t="e">
        <f>100*M44/L44</f>
        <v>#DIV/0!</v>
      </c>
      <c r="O45">
        <f>100*O44/N44</f>
        <v>213.51630657948178</v>
      </c>
      <c r="Q45">
        <f>100*Q44/P44</f>
        <v>213.53159640518243</v>
      </c>
      <c r="S45">
        <f>100*S44/R44</f>
        <v>211.66856331499324</v>
      </c>
    </row>
    <row r="47" spans="1:19" x14ac:dyDescent="0.25">
      <c r="A47" t="s">
        <v>115</v>
      </c>
    </row>
    <row r="48" spans="1:19" x14ac:dyDescent="0.25">
      <c r="A48" t="s">
        <v>111</v>
      </c>
      <c r="B48" t="s">
        <v>81</v>
      </c>
      <c r="C48" t="s">
        <v>82</v>
      </c>
      <c r="D48" t="s">
        <v>81</v>
      </c>
      <c r="E48" t="s">
        <v>82</v>
      </c>
      <c r="F48" t="s">
        <v>81</v>
      </c>
      <c r="G48" t="s">
        <v>82</v>
      </c>
      <c r="H48" t="s">
        <v>81</v>
      </c>
      <c r="I48" t="s">
        <v>82</v>
      </c>
      <c r="J48" t="s">
        <v>81</v>
      </c>
      <c r="K48" t="s">
        <v>82</v>
      </c>
      <c r="L48" t="s">
        <v>81</v>
      </c>
      <c r="M48" t="s">
        <v>82</v>
      </c>
      <c r="N48" t="s">
        <v>81</v>
      </c>
      <c r="O48" t="s">
        <v>82</v>
      </c>
      <c r="P48" t="s">
        <v>81</v>
      </c>
      <c r="Q48" t="s">
        <v>82</v>
      </c>
      <c r="R48" t="s">
        <v>81</v>
      </c>
      <c r="S48" t="s">
        <v>82</v>
      </c>
    </row>
    <row r="49" spans="2:19" x14ac:dyDescent="0.25">
      <c r="B49" t="s">
        <v>112</v>
      </c>
      <c r="C49" t="s">
        <v>112</v>
      </c>
      <c r="D49" t="s">
        <v>83</v>
      </c>
      <c r="E49" t="s">
        <v>83</v>
      </c>
      <c r="F49" t="s">
        <v>84</v>
      </c>
      <c r="G49" t="s">
        <v>84</v>
      </c>
      <c r="H49" t="s">
        <v>85</v>
      </c>
      <c r="I49" t="s">
        <v>85</v>
      </c>
      <c r="J49" t="s">
        <v>86</v>
      </c>
      <c r="K49" t="s">
        <v>86</v>
      </c>
      <c r="L49" t="s">
        <v>87</v>
      </c>
      <c r="M49" t="s">
        <v>87</v>
      </c>
      <c r="N49" t="s">
        <v>88</v>
      </c>
      <c r="O49" t="s">
        <v>88</v>
      </c>
      <c r="P49" t="s">
        <v>4</v>
      </c>
      <c r="Q49" t="s">
        <v>4</v>
      </c>
      <c r="R49" t="s">
        <v>6</v>
      </c>
      <c r="S49" t="s">
        <v>6</v>
      </c>
    </row>
    <row r="50" spans="2:19" x14ac:dyDescent="0.25">
      <c r="B50">
        <v>37237270</v>
      </c>
      <c r="C50">
        <v>85759424</v>
      </c>
      <c r="D50">
        <v>11175300</v>
      </c>
      <c r="E50">
        <v>22464354</v>
      </c>
      <c r="F50">
        <v>1671810</v>
      </c>
      <c r="G50">
        <v>2024950</v>
      </c>
      <c r="H50">
        <v>26.21</v>
      </c>
      <c r="I50">
        <v>56.48</v>
      </c>
      <c r="N50">
        <v>2.6899627999999998E-2</v>
      </c>
      <c r="O50">
        <v>5.6961805999999997E-2</v>
      </c>
      <c r="P50">
        <v>6.9069999999999999E-3</v>
      </c>
      <c r="Q50">
        <v>1.4886E-2</v>
      </c>
      <c r="R50">
        <v>1.9737000000000001E-2</v>
      </c>
      <c r="S50">
        <v>4.1648999999999999E-2</v>
      </c>
    </row>
    <row r="51" spans="2:19" x14ac:dyDescent="0.25">
      <c r="B51">
        <v>37625470</v>
      </c>
      <c r="C51">
        <v>85390052</v>
      </c>
      <c r="D51">
        <v>11278500</v>
      </c>
      <c r="E51">
        <v>21753470</v>
      </c>
      <c r="F51">
        <v>2042580</v>
      </c>
      <c r="G51">
        <v>2032996</v>
      </c>
      <c r="H51">
        <v>26.42</v>
      </c>
      <c r="I51">
        <v>55.96</v>
      </c>
      <c r="N51">
        <v>2.7281950999999999E-2</v>
      </c>
      <c r="O51">
        <v>5.6429238999999999E-2</v>
      </c>
      <c r="P51">
        <v>7.9590000000000008E-3</v>
      </c>
      <c r="Q51">
        <v>1.6048E-2</v>
      </c>
      <c r="R51">
        <v>1.8898000000000002E-2</v>
      </c>
      <c r="S51">
        <v>4.0078000000000003E-2</v>
      </c>
    </row>
    <row r="52" spans="2:19" x14ac:dyDescent="0.25">
      <c r="B52">
        <v>37690398</v>
      </c>
      <c r="C52">
        <v>84135548</v>
      </c>
      <c r="D52">
        <v>11413466</v>
      </c>
      <c r="E52">
        <v>21391426</v>
      </c>
      <c r="F52">
        <v>1992096</v>
      </c>
      <c r="G52">
        <v>2020216</v>
      </c>
      <c r="H52">
        <v>26.52</v>
      </c>
      <c r="I52">
        <v>55.1</v>
      </c>
      <c r="N52">
        <v>2.7365169000000002E-2</v>
      </c>
      <c r="O52">
        <v>5.5566465000000002E-2</v>
      </c>
      <c r="P52">
        <v>7.9920000000000008E-3</v>
      </c>
      <c r="Q52">
        <v>1.4033E-2</v>
      </c>
      <c r="R52">
        <v>1.8988999999999999E-2</v>
      </c>
      <c r="S52">
        <v>4.1126999999999997E-2</v>
      </c>
    </row>
    <row r="53" spans="2:19" x14ac:dyDescent="0.25">
      <c r="B53">
        <v>37556740</v>
      </c>
      <c r="C53">
        <v>84270352</v>
      </c>
      <c r="D53">
        <v>11219700</v>
      </c>
      <c r="E53">
        <v>21014884</v>
      </c>
      <c r="F53">
        <v>1688466</v>
      </c>
      <c r="G53">
        <v>2055508</v>
      </c>
      <c r="H53">
        <v>26.39</v>
      </c>
      <c r="I53">
        <v>54.98</v>
      </c>
      <c r="N53">
        <v>2.7023961999999999E-2</v>
      </c>
      <c r="O53">
        <v>5.5482368999999997E-2</v>
      </c>
      <c r="P53">
        <v>8.9370000000000005E-3</v>
      </c>
      <c r="Q53">
        <v>1.4749999999999999E-2</v>
      </c>
      <c r="R53">
        <v>1.7892000000000002E-2</v>
      </c>
      <c r="S53">
        <v>4.0327000000000002E-2</v>
      </c>
    </row>
    <row r="54" spans="2:19" x14ac:dyDescent="0.25">
      <c r="B54">
        <v>37778732</v>
      </c>
      <c r="C54">
        <v>85687954</v>
      </c>
      <c r="D54">
        <v>11224990</v>
      </c>
      <c r="E54">
        <v>21298388</v>
      </c>
      <c r="F54">
        <v>1982542</v>
      </c>
      <c r="G54">
        <v>3478720</v>
      </c>
      <c r="H54">
        <v>26.44</v>
      </c>
      <c r="I54">
        <v>55.99</v>
      </c>
      <c r="N54">
        <v>2.7276231000000001E-2</v>
      </c>
      <c r="O54">
        <v>5.7135247E-2</v>
      </c>
      <c r="P54">
        <v>8.9700000000000005E-3</v>
      </c>
      <c r="Q54">
        <v>1.7701999999999999E-2</v>
      </c>
      <c r="R54">
        <v>1.7940999999999999E-2</v>
      </c>
      <c r="S54">
        <v>3.8341E-2</v>
      </c>
    </row>
    <row r="55" spans="2:19" x14ac:dyDescent="0.25">
      <c r="B55">
        <v>37879456</v>
      </c>
      <c r="C55">
        <v>84254784</v>
      </c>
      <c r="D55">
        <v>11335956</v>
      </c>
      <c r="E55">
        <v>21030634</v>
      </c>
      <c r="F55">
        <v>2423866</v>
      </c>
      <c r="G55">
        <v>2711652</v>
      </c>
      <c r="H55">
        <v>26.58</v>
      </c>
      <c r="I55">
        <v>55.08</v>
      </c>
      <c r="N55">
        <v>2.7525131000000001E-2</v>
      </c>
      <c r="O55">
        <v>5.5827921000000003E-2</v>
      </c>
      <c r="P55">
        <v>7.0109999999999999E-3</v>
      </c>
      <c r="Q55">
        <v>1.5049999999999999E-2</v>
      </c>
      <c r="R55">
        <v>2.0018000000000001E-2</v>
      </c>
      <c r="S55">
        <v>4.0113999999999997E-2</v>
      </c>
    </row>
    <row r="56" spans="2:19" x14ac:dyDescent="0.25">
      <c r="B56">
        <v>37936942</v>
      </c>
      <c r="C56">
        <v>84177656</v>
      </c>
      <c r="D56">
        <v>11302626</v>
      </c>
      <c r="E56">
        <v>21323258</v>
      </c>
      <c r="F56">
        <v>2438152</v>
      </c>
      <c r="G56">
        <v>3884830</v>
      </c>
      <c r="H56">
        <v>26.59</v>
      </c>
      <c r="I56">
        <v>55.23</v>
      </c>
      <c r="N56">
        <v>2.7523555000000002E-2</v>
      </c>
      <c r="O56">
        <v>5.6592100999999999E-2</v>
      </c>
      <c r="P56">
        <v>9.0100000000000006E-3</v>
      </c>
      <c r="Q56">
        <v>1.5806000000000001E-2</v>
      </c>
      <c r="R56">
        <v>1.8006000000000001E-2</v>
      </c>
      <c r="S56">
        <v>3.9535000000000001E-2</v>
      </c>
    </row>
    <row r="57" spans="2:19" x14ac:dyDescent="0.25">
      <c r="B57">
        <v>37924074</v>
      </c>
      <c r="C57">
        <v>84156824</v>
      </c>
      <c r="D57">
        <v>11180998</v>
      </c>
      <c r="E57">
        <v>21506670</v>
      </c>
      <c r="F57">
        <v>2045426</v>
      </c>
      <c r="G57">
        <v>3584212</v>
      </c>
      <c r="H57">
        <v>26.57</v>
      </c>
      <c r="I57">
        <v>55.28</v>
      </c>
      <c r="N57">
        <v>2.7410873999999998E-2</v>
      </c>
      <c r="O57">
        <v>5.6536645000000003E-2</v>
      </c>
      <c r="P57">
        <v>8.9980000000000008E-3</v>
      </c>
      <c r="Q57">
        <v>1.3105E-2</v>
      </c>
      <c r="R57">
        <v>1.8003999999999999E-2</v>
      </c>
      <c r="S57">
        <v>4.2297000000000001E-2</v>
      </c>
    </row>
    <row r="58" spans="2:19" x14ac:dyDescent="0.25">
      <c r="B58">
        <v>37925166</v>
      </c>
      <c r="C58">
        <v>84379424</v>
      </c>
      <c r="D58">
        <v>11315348</v>
      </c>
      <c r="E58">
        <v>21183930</v>
      </c>
      <c r="F58">
        <v>1664436</v>
      </c>
      <c r="G58">
        <v>2263508</v>
      </c>
      <c r="H58">
        <v>26.58</v>
      </c>
      <c r="I58">
        <v>55.14</v>
      </c>
      <c r="N58">
        <v>2.7240294000000002E-2</v>
      </c>
      <c r="O58">
        <v>5.5565000000000003E-2</v>
      </c>
      <c r="P58">
        <v>6.96E-3</v>
      </c>
      <c r="Q58">
        <v>1.4781000000000001E-2</v>
      </c>
      <c r="R58">
        <v>2.0001000000000001E-2</v>
      </c>
      <c r="S58">
        <v>4.0474000000000003E-2</v>
      </c>
    </row>
    <row r="59" spans="2:19" x14ac:dyDescent="0.25">
      <c r="B59">
        <v>37714110</v>
      </c>
      <c r="C59">
        <v>84150702</v>
      </c>
      <c r="D59">
        <v>11213126</v>
      </c>
      <c r="E59">
        <v>21144912</v>
      </c>
      <c r="F59">
        <v>1729230</v>
      </c>
      <c r="G59">
        <v>2076014</v>
      </c>
      <c r="H59">
        <v>26.47</v>
      </c>
      <c r="I59">
        <v>54.99</v>
      </c>
      <c r="N59">
        <v>2.7014744E-2</v>
      </c>
      <c r="O59">
        <v>5.5486234000000002E-2</v>
      </c>
      <c r="P59">
        <v>6.9319999999999998E-3</v>
      </c>
      <c r="Q59">
        <v>1.7673999999999999E-2</v>
      </c>
      <c r="R59">
        <v>1.9807999999999999E-2</v>
      </c>
      <c r="S59">
        <v>3.7383E-2</v>
      </c>
    </row>
    <row r="60" spans="2:19" x14ac:dyDescent="0.25">
      <c r="B60">
        <f>AVERAGE(B50:B59)</f>
        <v>37726835.799999997</v>
      </c>
      <c r="C60">
        <f t="shared" ref="C60:S60" si="3">AVERAGE(C50:C59)</f>
        <v>84636272</v>
      </c>
      <c r="D60">
        <f t="shared" si="3"/>
        <v>11266001</v>
      </c>
      <c r="E60">
        <f t="shared" si="3"/>
        <v>21411192.600000001</v>
      </c>
      <c r="F60">
        <f t="shared" si="3"/>
        <v>1967860.4</v>
      </c>
      <c r="G60">
        <f t="shared" si="3"/>
        <v>2613260.6</v>
      </c>
      <c r="H60">
        <f t="shared" si="3"/>
        <v>26.476999999999997</v>
      </c>
      <c r="I60">
        <f t="shared" si="3"/>
        <v>55.423000000000002</v>
      </c>
      <c r="J60" t="e">
        <f t="shared" ref="J60:O60" si="4">AVERAGE(J50:J59)</f>
        <v>#DIV/0!</v>
      </c>
      <c r="K60" t="e">
        <f t="shared" si="4"/>
        <v>#DIV/0!</v>
      </c>
      <c r="L60" t="e">
        <f t="shared" si="4"/>
        <v>#DIV/0!</v>
      </c>
      <c r="M60" t="e">
        <f t="shared" si="4"/>
        <v>#DIV/0!</v>
      </c>
      <c r="N60">
        <f t="shared" si="4"/>
        <v>2.7256153900000003E-2</v>
      </c>
      <c r="O60">
        <f t="shared" si="4"/>
        <v>5.6158302699999996E-2</v>
      </c>
      <c r="P60">
        <f t="shared" si="3"/>
        <v>7.9676E-3</v>
      </c>
      <c r="Q60">
        <f t="shared" si="3"/>
        <v>1.53835E-2</v>
      </c>
      <c r="R60">
        <f t="shared" si="3"/>
        <v>1.8929399999999996E-2</v>
      </c>
      <c r="S60">
        <f t="shared" si="3"/>
        <v>4.0132500000000002E-2</v>
      </c>
    </row>
    <row r="61" spans="2:19" x14ac:dyDescent="0.25">
      <c r="C61">
        <f>100*C60/B60</f>
        <v>224.33970463009254</v>
      </c>
      <c r="E61">
        <f>100*E60/D60</f>
        <v>190.05139978240729</v>
      </c>
      <c r="G61">
        <f>100*G60/F60</f>
        <v>132.79705206731128</v>
      </c>
      <c r="I61">
        <f>100*I60/H60</f>
        <v>209.32507459304304</v>
      </c>
      <c r="K61" t="e">
        <f>100*K60/J60</f>
        <v>#DIV/0!</v>
      </c>
      <c r="M61" t="e">
        <f>100*M60/L60</f>
        <v>#DIV/0!</v>
      </c>
      <c r="O61">
        <f>100*O60/N60</f>
        <v>206.03898446581633</v>
      </c>
      <c r="Q61">
        <f>100*Q60/P60</f>
        <v>193.07570661177769</v>
      </c>
      <c r="S61">
        <f>100*S60/R60</f>
        <v>212.01147421471367</v>
      </c>
    </row>
    <row r="90" spans="1:19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</row>
    <row r="91" spans="1:19" x14ac:dyDescent="0.25">
      <c r="B91" t="s">
        <v>112</v>
      </c>
      <c r="C91" t="s">
        <v>112</v>
      </c>
      <c r="D91" t="s">
        <v>83</v>
      </c>
      <c r="E91" t="s">
        <v>83</v>
      </c>
      <c r="F91" t="s">
        <v>84</v>
      </c>
      <c r="G91" t="s">
        <v>84</v>
      </c>
      <c r="H91" t="s">
        <v>85</v>
      </c>
      <c r="I91" t="s">
        <v>85</v>
      </c>
      <c r="J91" t="s">
        <v>86</v>
      </c>
      <c r="K91" t="s">
        <v>86</v>
      </c>
      <c r="L91" t="s">
        <v>87</v>
      </c>
      <c r="M91" t="s">
        <v>87</v>
      </c>
      <c r="N91" t="s">
        <v>88</v>
      </c>
      <c r="O91" t="s">
        <v>88</v>
      </c>
      <c r="P91" t="s">
        <v>4</v>
      </c>
      <c r="Q91" t="s">
        <v>4</v>
      </c>
      <c r="R91" t="s">
        <v>6</v>
      </c>
      <c r="S91" t="s">
        <v>6</v>
      </c>
    </row>
    <row r="92" spans="1:19" x14ac:dyDescent="0.25">
      <c r="B92">
        <v>35682324</v>
      </c>
      <c r="C92">
        <v>80734812</v>
      </c>
      <c r="D92">
        <v>1557062</v>
      </c>
      <c r="E92">
        <v>3287596</v>
      </c>
      <c r="F92">
        <v>1639682</v>
      </c>
      <c r="G92">
        <v>1901948</v>
      </c>
      <c r="H92">
        <v>20.45</v>
      </c>
      <c r="I92">
        <v>44.18</v>
      </c>
      <c r="N92">
        <v>2.0602255999999999E-2</v>
      </c>
      <c r="O92">
        <v>4.4349593999999999E-2</v>
      </c>
      <c r="P92">
        <v>2.003E-3</v>
      </c>
      <c r="Q92">
        <v>3.9069999999999999E-3</v>
      </c>
      <c r="R92">
        <v>1.8005E-2</v>
      </c>
      <c r="S92">
        <v>4.0065999999999997E-2</v>
      </c>
    </row>
    <row r="93" spans="1:19" x14ac:dyDescent="0.25">
      <c r="B93">
        <v>35690922</v>
      </c>
      <c r="C93">
        <v>80955820</v>
      </c>
      <c r="D93">
        <v>1532690</v>
      </c>
      <c r="E93">
        <v>3237264</v>
      </c>
      <c r="F93">
        <v>1699010</v>
      </c>
      <c r="G93">
        <v>1967796</v>
      </c>
      <c r="H93">
        <v>20.47</v>
      </c>
      <c r="I93">
        <v>44.28</v>
      </c>
      <c r="N93">
        <v>2.0620251999999999E-2</v>
      </c>
      <c r="O93">
        <v>4.4447202999999998E-2</v>
      </c>
      <c r="P93">
        <v>2.9099999999999998E-3</v>
      </c>
      <c r="Q93">
        <v>5.8739999999999999E-3</v>
      </c>
      <c r="R93">
        <v>1.7457E-2</v>
      </c>
      <c r="S93">
        <v>3.8183000000000002E-2</v>
      </c>
    </row>
    <row r="94" spans="1:19" x14ac:dyDescent="0.25">
      <c r="B94">
        <v>35845868</v>
      </c>
      <c r="C94">
        <v>80678164</v>
      </c>
      <c r="D94">
        <v>1561662</v>
      </c>
      <c r="E94">
        <v>3268084</v>
      </c>
      <c r="F94">
        <v>1687258</v>
      </c>
      <c r="G94">
        <v>1970282</v>
      </c>
      <c r="H94">
        <v>20.49</v>
      </c>
      <c r="I94">
        <v>44.09</v>
      </c>
      <c r="N94">
        <v>2.0687067E-2</v>
      </c>
      <c r="O94">
        <v>4.4262224000000003E-2</v>
      </c>
      <c r="P94">
        <v>1.9959999999999999E-3</v>
      </c>
      <c r="Q94">
        <v>3.9880000000000002E-3</v>
      </c>
      <c r="R94">
        <v>1.7981E-2</v>
      </c>
      <c r="S94">
        <v>3.9876000000000002E-2</v>
      </c>
    </row>
    <row r="95" spans="1:19" x14ac:dyDescent="0.25">
      <c r="B95">
        <v>35472540</v>
      </c>
      <c r="C95">
        <v>81420978</v>
      </c>
      <c r="D95">
        <v>1576114</v>
      </c>
      <c r="E95">
        <v>3231244</v>
      </c>
      <c r="F95">
        <v>1681470</v>
      </c>
      <c r="G95">
        <v>1958074</v>
      </c>
      <c r="H95">
        <v>20.37</v>
      </c>
      <c r="I95">
        <v>44.44</v>
      </c>
      <c r="N95">
        <v>2.0522214E-2</v>
      </c>
      <c r="O95">
        <v>4.4622017E-2</v>
      </c>
      <c r="P95">
        <v>3.882E-3</v>
      </c>
      <c r="Q95">
        <v>6.9210000000000001E-3</v>
      </c>
      <c r="R95">
        <v>1.6499E-2</v>
      </c>
      <c r="S95">
        <v>3.6602999999999997E-2</v>
      </c>
    </row>
    <row r="96" spans="1:19" x14ac:dyDescent="0.25">
      <c r="B96">
        <v>35276018</v>
      </c>
      <c r="C96">
        <v>80557436</v>
      </c>
      <c r="D96">
        <v>1534360</v>
      </c>
      <c r="E96">
        <v>3251052</v>
      </c>
      <c r="F96">
        <v>1660000</v>
      </c>
      <c r="G96">
        <v>1983810</v>
      </c>
      <c r="H96">
        <v>20.22</v>
      </c>
      <c r="I96">
        <v>44.02</v>
      </c>
      <c r="N96">
        <v>2.0375422000000001E-2</v>
      </c>
      <c r="O96">
        <v>4.4199025000000003E-2</v>
      </c>
      <c r="P96">
        <v>1.9970000000000001E-3</v>
      </c>
      <c r="Q96">
        <v>6.927E-3</v>
      </c>
      <c r="R96">
        <v>1.8013000000000001E-2</v>
      </c>
      <c r="S96">
        <v>3.6631999999999998E-2</v>
      </c>
    </row>
    <row r="97" spans="2:19" x14ac:dyDescent="0.25">
      <c r="B97">
        <v>35520364</v>
      </c>
      <c r="C97">
        <v>80804316</v>
      </c>
      <c r="D97">
        <v>1584686</v>
      </c>
      <c r="E97">
        <v>3187670</v>
      </c>
      <c r="F97">
        <v>1678362</v>
      </c>
      <c r="G97">
        <v>1980576</v>
      </c>
      <c r="H97">
        <v>20.39</v>
      </c>
      <c r="I97">
        <v>44.14</v>
      </c>
      <c r="N97">
        <v>2.0546420999999999E-2</v>
      </c>
      <c r="O97">
        <v>4.4309205999999997E-2</v>
      </c>
      <c r="P97">
        <v>2.9129999999999998E-3</v>
      </c>
      <c r="Q97">
        <v>4.9160000000000002E-3</v>
      </c>
      <c r="R97">
        <v>1.7476999999999999E-2</v>
      </c>
      <c r="S97">
        <v>3.8363000000000001E-2</v>
      </c>
    </row>
    <row r="98" spans="2:19" x14ac:dyDescent="0.25">
      <c r="B98">
        <v>35550106</v>
      </c>
      <c r="C98">
        <v>80653274</v>
      </c>
      <c r="D98">
        <v>1543464</v>
      </c>
      <c r="E98">
        <v>3280774</v>
      </c>
      <c r="F98">
        <v>1638026</v>
      </c>
      <c r="G98">
        <v>1985564</v>
      </c>
      <c r="H98">
        <v>20.37</v>
      </c>
      <c r="I98">
        <v>44.09</v>
      </c>
      <c r="N98">
        <v>2.0523251999999999E-2</v>
      </c>
      <c r="O98">
        <v>4.4251660999999998E-2</v>
      </c>
      <c r="P98">
        <v>9.990000000000001E-4</v>
      </c>
      <c r="Q98">
        <v>5.8430000000000001E-3</v>
      </c>
      <c r="R98">
        <v>1.9015000000000001E-2</v>
      </c>
      <c r="S98">
        <v>3.8024000000000002E-2</v>
      </c>
    </row>
    <row r="99" spans="2:19" x14ac:dyDescent="0.25">
      <c r="B99">
        <v>35753718</v>
      </c>
      <c r="C99">
        <v>81353188</v>
      </c>
      <c r="D99">
        <v>1540834</v>
      </c>
      <c r="E99">
        <v>3348600</v>
      </c>
      <c r="F99">
        <v>1626850</v>
      </c>
      <c r="G99">
        <v>1897298</v>
      </c>
      <c r="H99">
        <v>20.41</v>
      </c>
      <c r="I99">
        <v>44.38</v>
      </c>
      <c r="N99">
        <v>2.0603008999999999E-2</v>
      </c>
      <c r="O99">
        <v>4.4590418999999999E-2</v>
      </c>
      <c r="P99">
        <v>3.1380000000000002E-3</v>
      </c>
      <c r="Q99">
        <v>3.009E-3</v>
      </c>
      <c r="R99">
        <v>1.6757000000000001E-2</v>
      </c>
      <c r="S99">
        <v>4.1134999999999998E-2</v>
      </c>
    </row>
    <row r="100" spans="2:19" x14ac:dyDescent="0.25">
      <c r="B100">
        <v>35364436</v>
      </c>
      <c r="C100">
        <v>80827114</v>
      </c>
      <c r="D100">
        <v>1541906</v>
      </c>
      <c r="E100">
        <v>3259412</v>
      </c>
      <c r="F100">
        <v>1612808</v>
      </c>
      <c r="G100">
        <v>1976804</v>
      </c>
      <c r="H100">
        <v>20.239999999999998</v>
      </c>
      <c r="I100">
        <v>44.17</v>
      </c>
      <c r="N100">
        <v>2.0400893E-2</v>
      </c>
      <c r="O100">
        <v>4.4371623999999998E-2</v>
      </c>
      <c r="P100">
        <v>3.003E-3</v>
      </c>
      <c r="Q100">
        <v>4.8830000000000002E-3</v>
      </c>
      <c r="R100">
        <v>1.7010999999999998E-2</v>
      </c>
      <c r="S100">
        <v>3.9071000000000002E-2</v>
      </c>
    </row>
    <row r="101" spans="2:19" x14ac:dyDescent="0.25">
      <c r="B101">
        <v>35599746</v>
      </c>
      <c r="C101">
        <v>80823992</v>
      </c>
      <c r="D101">
        <v>1607014</v>
      </c>
      <c r="E101">
        <v>3242830</v>
      </c>
      <c r="F101">
        <v>1822544</v>
      </c>
      <c r="G101">
        <v>1985030</v>
      </c>
      <c r="H101">
        <v>20.52</v>
      </c>
      <c r="I101">
        <v>44.15</v>
      </c>
      <c r="N101">
        <v>2.1133470000000001E-2</v>
      </c>
      <c r="O101">
        <v>4.4310954999999999E-2</v>
      </c>
      <c r="P101">
        <v>2.9069999999999999E-3</v>
      </c>
      <c r="Q101">
        <v>5.8859999999999997E-3</v>
      </c>
      <c r="R101">
        <v>1.7437000000000001E-2</v>
      </c>
      <c r="S101">
        <v>3.7317999999999997E-2</v>
      </c>
    </row>
    <row r="102" spans="2:19" x14ac:dyDescent="0.25">
      <c r="B102">
        <f>AVERAGE(B92:B101)</f>
        <v>35575604.200000003</v>
      </c>
      <c r="C102">
        <f t="shared" ref="C102:S102" si="5">AVERAGE(C92:C101)</f>
        <v>80880909.400000006</v>
      </c>
      <c r="D102">
        <f t="shared" si="5"/>
        <v>1557979.2</v>
      </c>
      <c r="E102">
        <f t="shared" si="5"/>
        <v>3259452.6</v>
      </c>
      <c r="F102">
        <f t="shared" si="5"/>
        <v>1674601</v>
      </c>
      <c r="G102">
        <f t="shared" si="5"/>
        <v>1960718.2</v>
      </c>
      <c r="H102">
        <f t="shared" si="5"/>
        <v>20.393000000000001</v>
      </c>
      <c r="I102">
        <f t="shared" si="5"/>
        <v>44.194000000000003</v>
      </c>
      <c r="J102" t="e">
        <f t="shared" si="5"/>
        <v>#DIV/0!</v>
      </c>
      <c r="K102" t="e">
        <f t="shared" si="5"/>
        <v>#DIV/0!</v>
      </c>
      <c r="L102" t="e">
        <f t="shared" si="5"/>
        <v>#DIV/0!</v>
      </c>
      <c r="M102" t="e">
        <f t="shared" si="5"/>
        <v>#DIV/0!</v>
      </c>
      <c r="N102">
        <f t="shared" si="5"/>
        <v>2.0601425600000001E-2</v>
      </c>
      <c r="O102">
        <f t="shared" si="5"/>
        <v>4.4371392799999999E-2</v>
      </c>
      <c r="P102">
        <f t="shared" si="5"/>
        <v>2.5747999999999999E-3</v>
      </c>
      <c r="Q102">
        <f t="shared" si="5"/>
        <v>5.2154000000000002E-3</v>
      </c>
      <c r="R102">
        <f t="shared" si="5"/>
        <v>1.75652E-2</v>
      </c>
      <c r="S102">
        <f t="shared" si="5"/>
        <v>3.8527100000000002E-2</v>
      </c>
    </row>
    <row r="103" spans="2:19" x14ac:dyDescent="0.25">
      <c r="C103">
        <f>100*C102/B102</f>
        <v>227.34936262867464</v>
      </c>
      <c r="E103">
        <f>100*E102/D102</f>
        <v>209.21027700498183</v>
      </c>
      <c r="G103">
        <f>100*G102/F102</f>
        <v>117.08569384587732</v>
      </c>
      <c r="I103">
        <f>100*I102/H102</f>
        <v>216.71161673123132</v>
      </c>
      <c r="O103">
        <f>100*O102/N102</f>
        <v>215.38020553296079</v>
      </c>
      <c r="Q103">
        <f>100*Q102/P102</f>
        <v>202.55553829423644</v>
      </c>
      <c r="S103">
        <f>100*S102/R102</f>
        <v>219.33766766105711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A5E6-2FC6-4D1B-A359-5F0C07A2430C}">
  <dimension ref="A1:S103"/>
  <sheetViews>
    <sheetView workbookViewId="0">
      <selection activeCell="S103" sqref="S103"/>
    </sheetView>
  </sheetViews>
  <sheetFormatPr defaultRowHeight="15" x14ac:dyDescent="0.25"/>
  <sheetData>
    <row r="1" spans="1:19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</row>
    <row r="2" spans="1:19" x14ac:dyDescent="0.25">
      <c r="B2" t="s">
        <v>112</v>
      </c>
      <c r="C2" t="s">
        <v>112</v>
      </c>
      <c r="D2" t="s">
        <v>83</v>
      </c>
      <c r="E2" t="s">
        <v>83</v>
      </c>
      <c r="F2" t="s">
        <v>84</v>
      </c>
      <c r="G2" t="s">
        <v>84</v>
      </c>
      <c r="H2" t="s">
        <v>85</v>
      </c>
      <c r="I2" t="s">
        <v>85</v>
      </c>
      <c r="J2" t="s">
        <v>86</v>
      </c>
      <c r="K2" t="s">
        <v>86</v>
      </c>
      <c r="L2" t="s">
        <v>87</v>
      </c>
      <c r="M2" t="s">
        <v>87</v>
      </c>
      <c r="N2" t="s">
        <v>88</v>
      </c>
      <c r="O2" t="s">
        <v>88</v>
      </c>
      <c r="P2" t="s">
        <v>4</v>
      </c>
      <c r="Q2" t="s">
        <v>4</v>
      </c>
      <c r="R2" t="s">
        <v>6</v>
      </c>
      <c r="S2" t="s">
        <v>6</v>
      </c>
    </row>
    <row r="3" spans="1:19" x14ac:dyDescent="0.25">
      <c r="B3">
        <v>39354262</v>
      </c>
      <c r="C3">
        <v>85846628</v>
      </c>
      <c r="D3">
        <v>7111706</v>
      </c>
      <c r="E3">
        <v>12719776</v>
      </c>
      <c r="F3">
        <v>1874472</v>
      </c>
      <c r="G3">
        <v>2125248</v>
      </c>
      <c r="H3">
        <v>25.26</v>
      </c>
      <c r="I3">
        <v>51.56</v>
      </c>
      <c r="J3">
        <v>11</v>
      </c>
      <c r="K3">
        <v>13</v>
      </c>
      <c r="L3">
        <v>691</v>
      </c>
      <c r="M3">
        <v>692</v>
      </c>
      <c r="N3">
        <v>2.542912E-2</v>
      </c>
      <c r="O3">
        <v>5.1768461000000002E-2</v>
      </c>
      <c r="P3">
        <v>4.0010000000000002E-3</v>
      </c>
      <c r="Q3">
        <v>5.9630000000000004E-3</v>
      </c>
      <c r="R3">
        <v>2.1017000000000001E-2</v>
      </c>
      <c r="S3">
        <v>4.4748999999999997E-2</v>
      </c>
    </row>
    <row r="4" spans="1:19" x14ac:dyDescent="0.25">
      <c r="B4">
        <v>39108240</v>
      </c>
      <c r="C4">
        <v>86211086</v>
      </c>
      <c r="D4">
        <v>7488522</v>
      </c>
      <c r="E4">
        <v>12562424</v>
      </c>
      <c r="F4">
        <v>1860432</v>
      </c>
      <c r="G4">
        <v>2146996</v>
      </c>
      <c r="H4">
        <v>25.3</v>
      </c>
      <c r="I4">
        <v>51.67</v>
      </c>
      <c r="J4">
        <v>11</v>
      </c>
      <c r="K4">
        <v>12</v>
      </c>
      <c r="L4">
        <v>687</v>
      </c>
      <c r="M4">
        <v>691</v>
      </c>
      <c r="N4">
        <v>2.5469523000000001E-2</v>
      </c>
      <c r="O4">
        <v>5.1874678E-2</v>
      </c>
      <c r="P4">
        <v>6.0049999999999999E-3</v>
      </c>
      <c r="Q4">
        <v>9.7059999999999994E-3</v>
      </c>
      <c r="R4">
        <v>1.9028E-2</v>
      </c>
      <c r="S4">
        <v>4.0765000000000003E-2</v>
      </c>
    </row>
    <row r="5" spans="1:19" x14ac:dyDescent="0.25">
      <c r="B5">
        <v>39278588</v>
      </c>
      <c r="C5">
        <v>86179684</v>
      </c>
      <c r="D5">
        <v>7342264</v>
      </c>
      <c r="E5">
        <v>12115104</v>
      </c>
      <c r="F5">
        <v>1897102</v>
      </c>
      <c r="G5">
        <v>2104512</v>
      </c>
      <c r="H5">
        <v>25.32</v>
      </c>
      <c r="I5">
        <v>51.38</v>
      </c>
      <c r="J5">
        <v>11</v>
      </c>
      <c r="K5">
        <v>13</v>
      </c>
      <c r="L5">
        <v>686</v>
      </c>
      <c r="M5">
        <v>689</v>
      </c>
      <c r="N5">
        <v>2.5490540999999999E-2</v>
      </c>
      <c r="O5">
        <v>5.1581722000000003E-2</v>
      </c>
      <c r="P5">
        <v>6.0039999999999998E-3</v>
      </c>
      <c r="Q5">
        <v>8.9519999999999999E-3</v>
      </c>
      <c r="R5">
        <v>1.9012999999999999E-2</v>
      </c>
      <c r="S5">
        <v>4.1771000000000003E-2</v>
      </c>
    </row>
    <row r="6" spans="1:19" x14ac:dyDescent="0.25">
      <c r="B6">
        <v>39407126</v>
      </c>
      <c r="C6">
        <v>85506520</v>
      </c>
      <c r="D6">
        <v>7292198</v>
      </c>
      <c r="E6">
        <v>12448140</v>
      </c>
      <c r="F6">
        <v>1915576</v>
      </c>
      <c r="G6">
        <v>2126354</v>
      </c>
      <c r="H6">
        <v>25.37</v>
      </c>
      <c r="I6">
        <v>51.23</v>
      </c>
      <c r="J6">
        <v>11</v>
      </c>
      <c r="K6">
        <v>12</v>
      </c>
      <c r="L6">
        <v>686</v>
      </c>
      <c r="M6">
        <v>685</v>
      </c>
      <c r="N6">
        <v>2.5544051000000002E-2</v>
      </c>
      <c r="O6">
        <v>5.1418743000000003E-2</v>
      </c>
      <c r="P6">
        <v>5.0039999999999998E-3</v>
      </c>
      <c r="Q6">
        <v>7.9369999999999996E-3</v>
      </c>
      <c r="R6">
        <v>2.0029000000000002E-2</v>
      </c>
      <c r="S6">
        <v>4.2679000000000002E-2</v>
      </c>
    </row>
    <row r="7" spans="1:19" x14ac:dyDescent="0.25">
      <c r="B7">
        <v>39827992</v>
      </c>
      <c r="C7">
        <v>86269220</v>
      </c>
      <c r="D7">
        <v>7040732</v>
      </c>
      <c r="E7">
        <v>12227940</v>
      </c>
      <c r="F7">
        <v>1901472</v>
      </c>
      <c r="G7">
        <v>2127314</v>
      </c>
      <c r="H7">
        <v>25.44</v>
      </c>
      <c r="I7">
        <v>51.49</v>
      </c>
      <c r="J7">
        <v>14</v>
      </c>
      <c r="K7">
        <v>13</v>
      </c>
      <c r="L7">
        <v>690</v>
      </c>
      <c r="M7">
        <v>687</v>
      </c>
      <c r="N7">
        <v>2.6168725E-2</v>
      </c>
      <c r="O7">
        <v>5.1689067999999998E-2</v>
      </c>
      <c r="P7">
        <v>4.8120000000000003E-3</v>
      </c>
      <c r="Q7">
        <v>8.9449999999999998E-3</v>
      </c>
      <c r="R7">
        <v>2.0211E-2</v>
      </c>
      <c r="S7">
        <v>4.1768E-2</v>
      </c>
    </row>
    <row r="8" spans="1:19" x14ac:dyDescent="0.25">
      <c r="B8">
        <v>39172406</v>
      </c>
      <c r="C8">
        <v>86475476</v>
      </c>
      <c r="D8">
        <v>7008284</v>
      </c>
      <c r="E8">
        <v>12057910</v>
      </c>
      <c r="F8">
        <v>1864376</v>
      </c>
      <c r="G8">
        <v>2168848</v>
      </c>
      <c r="H8">
        <v>25.08</v>
      </c>
      <c r="I8">
        <v>51.53</v>
      </c>
      <c r="J8">
        <v>11</v>
      </c>
      <c r="K8">
        <v>14</v>
      </c>
      <c r="L8">
        <v>692</v>
      </c>
      <c r="M8">
        <v>687</v>
      </c>
      <c r="N8">
        <v>2.5257667000000001E-2</v>
      </c>
      <c r="O8">
        <v>5.1716199999999997E-2</v>
      </c>
      <c r="P8">
        <v>5.0039999999999998E-3</v>
      </c>
      <c r="Q8">
        <v>8.8769999999999995E-3</v>
      </c>
      <c r="R8">
        <v>2.0022000000000002E-2</v>
      </c>
      <c r="S8">
        <v>4.2395000000000002E-2</v>
      </c>
    </row>
    <row r="9" spans="1:19" x14ac:dyDescent="0.25">
      <c r="B9">
        <v>39488980</v>
      </c>
      <c r="C9">
        <v>85839434</v>
      </c>
      <c r="D9">
        <v>6983756</v>
      </c>
      <c r="E9">
        <v>12499686</v>
      </c>
      <c r="F9">
        <v>1892500</v>
      </c>
      <c r="G9">
        <v>2107284</v>
      </c>
      <c r="H9">
        <v>25.23</v>
      </c>
      <c r="I9">
        <v>51.37</v>
      </c>
      <c r="J9">
        <v>11</v>
      </c>
      <c r="K9">
        <v>13</v>
      </c>
      <c r="L9">
        <v>691</v>
      </c>
      <c r="M9">
        <v>689</v>
      </c>
      <c r="N9">
        <v>2.5405179999999999E-2</v>
      </c>
      <c r="O9">
        <v>5.1598698999999998E-2</v>
      </c>
      <c r="P9">
        <v>3.9960000000000004E-3</v>
      </c>
      <c r="Q9">
        <v>1.0923E-2</v>
      </c>
      <c r="R9">
        <v>2.1014000000000001E-2</v>
      </c>
      <c r="S9">
        <v>3.9731000000000002E-2</v>
      </c>
    </row>
    <row r="10" spans="1:19" x14ac:dyDescent="0.25">
      <c r="B10">
        <v>39413256</v>
      </c>
      <c r="C10">
        <v>86298458</v>
      </c>
      <c r="D10">
        <v>6981722</v>
      </c>
      <c r="E10">
        <v>12142060</v>
      </c>
      <c r="F10">
        <v>1863356</v>
      </c>
      <c r="G10">
        <v>2112150</v>
      </c>
      <c r="H10">
        <v>25.16</v>
      </c>
      <c r="I10">
        <v>51.48</v>
      </c>
      <c r="J10">
        <v>12</v>
      </c>
      <c r="K10">
        <v>12</v>
      </c>
      <c r="L10">
        <v>691</v>
      </c>
      <c r="M10">
        <v>692</v>
      </c>
      <c r="N10">
        <v>2.534465E-2</v>
      </c>
      <c r="O10">
        <v>5.1708125000000001E-2</v>
      </c>
      <c r="P10">
        <v>5.9959999999999996E-3</v>
      </c>
      <c r="Q10">
        <v>1.0876E-2</v>
      </c>
      <c r="R10">
        <v>1.9002999999999999E-2</v>
      </c>
      <c r="S10">
        <v>3.9573999999999998E-2</v>
      </c>
    </row>
    <row r="11" spans="1:19" x14ac:dyDescent="0.25">
      <c r="B11">
        <v>39513758</v>
      </c>
      <c r="C11">
        <v>86779764</v>
      </c>
      <c r="D11">
        <v>6993794</v>
      </c>
      <c r="E11">
        <v>12117988</v>
      </c>
      <c r="F11">
        <v>1867832</v>
      </c>
      <c r="G11">
        <v>2116942</v>
      </c>
      <c r="H11">
        <v>25.24</v>
      </c>
      <c r="I11">
        <v>51.72</v>
      </c>
      <c r="J11">
        <v>13</v>
      </c>
      <c r="K11">
        <v>13</v>
      </c>
      <c r="L11">
        <v>689</v>
      </c>
      <c r="M11">
        <v>691</v>
      </c>
      <c r="N11">
        <v>2.5954626000000001E-2</v>
      </c>
      <c r="O11">
        <v>5.1905132999999999E-2</v>
      </c>
      <c r="P11">
        <v>3.999E-3</v>
      </c>
      <c r="Q11">
        <v>1.0933E-2</v>
      </c>
      <c r="R11">
        <v>2.1031999999999999E-2</v>
      </c>
      <c r="S11">
        <v>3.9796999999999999E-2</v>
      </c>
    </row>
    <row r="12" spans="1:19" x14ac:dyDescent="0.25">
      <c r="B12">
        <v>39300258</v>
      </c>
      <c r="C12">
        <v>85996322</v>
      </c>
      <c r="D12">
        <v>6976202</v>
      </c>
      <c r="E12">
        <v>12047622</v>
      </c>
      <c r="F12">
        <v>1926850</v>
      </c>
      <c r="G12">
        <v>2109076</v>
      </c>
      <c r="H12">
        <v>25.15</v>
      </c>
      <c r="I12">
        <v>51.31</v>
      </c>
      <c r="J12">
        <v>11</v>
      </c>
      <c r="K12">
        <v>12</v>
      </c>
      <c r="L12">
        <v>690</v>
      </c>
      <c r="M12">
        <v>689</v>
      </c>
      <c r="N12">
        <v>2.5322740999999999E-2</v>
      </c>
      <c r="O12">
        <v>5.2044671000000001E-2</v>
      </c>
      <c r="P12">
        <v>4.0049999999999999E-3</v>
      </c>
      <c r="Q12">
        <v>7.8040000000000002E-3</v>
      </c>
      <c r="R12">
        <v>2.1028000000000002E-2</v>
      </c>
      <c r="S12">
        <v>4.2913E-2</v>
      </c>
    </row>
    <row r="13" spans="1:19" x14ac:dyDescent="0.25">
      <c r="B13">
        <f>AVERAGE(B3:B12)</f>
        <v>39386486.600000001</v>
      </c>
      <c r="C13">
        <f t="shared" ref="C13:S13" si="0">AVERAGE(C3:C12)</f>
        <v>86140259.200000003</v>
      </c>
      <c r="D13">
        <f t="shared" si="0"/>
        <v>7121918</v>
      </c>
      <c r="E13">
        <f t="shared" si="0"/>
        <v>12293865</v>
      </c>
      <c r="F13">
        <f t="shared" si="0"/>
        <v>1886396.8</v>
      </c>
      <c r="G13">
        <f t="shared" si="0"/>
        <v>2124472.4</v>
      </c>
      <c r="H13">
        <f t="shared" si="0"/>
        <v>25.254999999999999</v>
      </c>
      <c r="I13">
        <f t="shared" si="0"/>
        <v>51.474000000000004</v>
      </c>
      <c r="J13">
        <f t="shared" si="0"/>
        <v>11.6</v>
      </c>
      <c r="K13">
        <f t="shared" si="0"/>
        <v>12.7</v>
      </c>
      <c r="L13">
        <f t="shared" si="0"/>
        <v>689.3</v>
      </c>
      <c r="M13">
        <f t="shared" si="0"/>
        <v>689.2</v>
      </c>
      <c r="N13">
        <f t="shared" si="0"/>
        <v>2.5538682400000002E-2</v>
      </c>
      <c r="O13">
        <f t="shared" si="0"/>
        <v>5.173055E-2</v>
      </c>
      <c r="P13">
        <f t="shared" si="0"/>
        <v>4.8826E-3</v>
      </c>
      <c r="Q13">
        <f t="shared" si="0"/>
        <v>9.0916E-3</v>
      </c>
      <c r="R13">
        <f t="shared" si="0"/>
        <v>2.0139699999999996E-2</v>
      </c>
      <c r="S13">
        <f t="shared" si="0"/>
        <v>4.1614200000000004E-2</v>
      </c>
    </row>
    <row r="14" spans="1:19" x14ac:dyDescent="0.25">
      <c r="C14">
        <f>100*C13/B13</f>
        <v>218.70511090471319</v>
      </c>
      <c r="E14">
        <f>100*E13/D13</f>
        <v>172.6201424953222</v>
      </c>
      <c r="G14">
        <f>100*G13/F13</f>
        <v>112.6206533005145</v>
      </c>
      <c r="I14">
        <f>100*I13/H13</f>
        <v>203.81706592753912</v>
      </c>
      <c r="K14">
        <f>100*K13/J13</f>
        <v>109.48275862068967</v>
      </c>
      <c r="M14">
        <f>100*M13/L13</f>
        <v>99.985492528652259</v>
      </c>
      <c r="O14">
        <f>100*O13/N13</f>
        <v>202.55763077268227</v>
      </c>
      <c r="Q14">
        <f>100*Q13/P13</f>
        <v>186.20407160119609</v>
      </c>
      <c r="S14">
        <f>100*S13/R13</f>
        <v>206.62770547724153</v>
      </c>
    </row>
    <row r="16" spans="1:19" x14ac:dyDescent="0.25">
      <c r="A16" t="s">
        <v>107</v>
      </c>
      <c r="B16" t="s">
        <v>81</v>
      </c>
      <c r="C16" t="s">
        <v>82</v>
      </c>
      <c r="D16" t="s">
        <v>81</v>
      </c>
      <c r="E16" t="s">
        <v>82</v>
      </c>
      <c r="F16" t="s">
        <v>81</v>
      </c>
      <c r="G16" t="s">
        <v>82</v>
      </c>
      <c r="H16" t="s">
        <v>81</v>
      </c>
      <c r="I16" t="s">
        <v>82</v>
      </c>
      <c r="J16" t="s">
        <v>81</v>
      </c>
      <c r="K16" t="s">
        <v>82</v>
      </c>
      <c r="L16" t="s">
        <v>81</v>
      </c>
      <c r="M16" t="s">
        <v>82</v>
      </c>
      <c r="N16" t="s">
        <v>81</v>
      </c>
      <c r="O16" t="s">
        <v>82</v>
      </c>
      <c r="P16" t="s">
        <v>81</v>
      </c>
      <c r="Q16" t="s">
        <v>82</v>
      </c>
      <c r="R16" t="s">
        <v>81</v>
      </c>
      <c r="S16" t="s">
        <v>82</v>
      </c>
    </row>
    <row r="17" spans="1:19" x14ac:dyDescent="0.25">
      <c r="B17" t="s">
        <v>112</v>
      </c>
      <c r="C17" t="s">
        <v>112</v>
      </c>
      <c r="D17" t="s">
        <v>83</v>
      </c>
      <c r="E17" t="s">
        <v>83</v>
      </c>
      <c r="F17" t="s">
        <v>84</v>
      </c>
      <c r="G17" t="s">
        <v>84</v>
      </c>
      <c r="H17" t="s">
        <v>85</v>
      </c>
      <c r="I17" t="s">
        <v>85</v>
      </c>
      <c r="J17" t="s">
        <v>86</v>
      </c>
      <c r="K17" t="s">
        <v>86</v>
      </c>
      <c r="L17" t="s">
        <v>87</v>
      </c>
      <c r="M17" t="s">
        <v>87</v>
      </c>
      <c r="N17" t="s">
        <v>88</v>
      </c>
      <c r="O17" t="s">
        <v>88</v>
      </c>
      <c r="P17" t="s">
        <v>4</v>
      </c>
      <c r="Q17" t="s">
        <v>4</v>
      </c>
      <c r="R17" t="s">
        <v>6</v>
      </c>
      <c r="S17" t="s">
        <v>6</v>
      </c>
    </row>
    <row r="18" spans="1:19" x14ac:dyDescent="0.25">
      <c r="B18">
        <v>7385398</v>
      </c>
      <c r="C18">
        <v>8223350</v>
      </c>
      <c r="D18">
        <v>2818312</v>
      </c>
      <c r="E18">
        <v>2902866</v>
      </c>
      <c r="F18">
        <v>334424</v>
      </c>
      <c r="G18">
        <v>330342</v>
      </c>
      <c r="H18">
        <v>6.71</v>
      </c>
      <c r="I18">
        <v>7.29</v>
      </c>
      <c r="N18">
        <v>6.9214059999999997E-3</v>
      </c>
      <c r="O18">
        <v>7.4943700000000002E-3</v>
      </c>
      <c r="P18">
        <v>3.921E-3</v>
      </c>
      <c r="Q18">
        <v>4.2329999999999998E-3</v>
      </c>
      <c r="R18">
        <v>2.9450000000000001E-3</v>
      </c>
      <c r="S18">
        <v>3.1670000000000001E-3</v>
      </c>
    </row>
    <row r="19" spans="1:19" x14ac:dyDescent="0.25">
      <c r="B19">
        <v>7014982</v>
      </c>
      <c r="C19">
        <v>8107478</v>
      </c>
      <c r="D19">
        <v>2876604</v>
      </c>
      <c r="E19">
        <v>2813486</v>
      </c>
      <c r="F19">
        <v>326734</v>
      </c>
      <c r="G19">
        <v>416208</v>
      </c>
      <c r="H19">
        <v>6.51</v>
      </c>
      <c r="I19">
        <v>7.17</v>
      </c>
      <c r="N19">
        <v>6.7118730000000001E-3</v>
      </c>
      <c r="O19">
        <v>7.3611529999999996E-3</v>
      </c>
      <c r="P19">
        <v>3.3300000000000001E-3</v>
      </c>
      <c r="Q19">
        <v>4.156E-3</v>
      </c>
      <c r="R19">
        <v>3.3370000000000001E-3</v>
      </c>
      <c r="S19">
        <v>3.1099999999999999E-3</v>
      </c>
    </row>
    <row r="20" spans="1:19" x14ac:dyDescent="0.25">
      <c r="B20">
        <v>7115268</v>
      </c>
      <c r="C20">
        <v>8182034</v>
      </c>
      <c r="D20">
        <v>2742906</v>
      </c>
      <c r="E20">
        <v>2880500</v>
      </c>
      <c r="F20">
        <v>328014</v>
      </c>
      <c r="G20">
        <v>416450</v>
      </c>
      <c r="H20">
        <v>6.47</v>
      </c>
      <c r="I20">
        <v>7.28</v>
      </c>
      <c r="N20">
        <v>6.6348049999999997E-3</v>
      </c>
      <c r="O20">
        <v>8.0259849999999994E-3</v>
      </c>
      <c r="P20">
        <v>2.199E-3</v>
      </c>
      <c r="Q20">
        <v>2.764E-3</v>
      </c>
      <c r="R20">
        <v>4.3920000000000001E-3</v>
      </c>
      <c r="S20">
        <v>4.5799999999999999E-3</v>
      </c>
    </row>
    <row r="21" spans="1:19" x14ac:dyDescent="0.25">
      <c r="B21">
        <v>7013570</v>
      </c>
      <c r="C21">
        <v>8121768</v>
      </c>
      <c r="D21">
        <v>2736078</v>
      </c>
      <c r="E21">
        <v>2762496</v>
      </c>
      <c r="F21">
        <v>326346</v>
      </c>
      <c r="G21">
        <v>406670</v>
      </c>
      <c r="H21">
        <v>6.4</v>
      </c>
      <c r="I21">
        <v>7.13</v>
      </c>
      <c r="N21">
        <v>6.565665E-3</v>
      </c>
      <c r="O21">
        <v>7.3176229999999997E-3</v>
      </c>
      <c r="P21">
        <v>1.088E-3</v>
      </c>
      <c r="Q21">
        <v>2.0590000000000001E-3</v>
      </c>
      <c r="R21">
        <v>5.4260000000000003E-3</v>
      </c>
      <c r="S21">
        <v>5.1359999999999999E-3</v>
      </c>
    </row>
    <row r="22" spans="1:19" x14ac:dyDescent="0.25">
      <c r="B22">
        <v>7063868</v>
      </c>
      <c r="C22">
        <v>8145494</v>
      </c>
      <c r="D22">
        <v>2636684</v>
      </c>
      <c r="E22">
        <v>2740834</v>
      </c>
      <c r="F22">
        <v>325910</v>
      </c>
      <c r="G22">
        <v>418964</v>
      </c>
      <c r="H22">
        <v>6.33</v>
      </c>
      <c r="I22">
        <v>7.15</v>
      </c>
      <c r="N22">
        <v>6.499286E-3</v>
      </c>
      <c r="O22">
        <v>7.33784E-3</v>
      </c>
      <c r="P22">
        <v>2.1540000000000001E-3</v>
      </c>
      <c r="Q22">
        <v>3.1020000000000002E-3</v>
      </c>
      <c r="R22">
        <v>4.3020000000000003E-3</v>
      </c>
      <c r="S22">
        <v>4.1229999999999999E-3</v>
      </c>
    </row>
    <row r="23" spans="1:19" x14ac:dyDescent="0.25">
      <c r="B23">
        <v>7188948</v>
      </c>
      <c r="C23">
        <v>8107186</v>
      </c>
      <c r="D23">
        <v>2662342</v>
      </c>
      <c r="E23">
        <v>2788460</v>
      </c>
      <c r="F23">
        <v>332120</v>
      </c>
      <c r="G23">
        <v>431910</v>
      </c>
      <c r="H23">
        <v>6.44</v>
      </c>
      <c r="I23">
        <v>7.14</v>
      </c>
      <c r="N23">
        <v>6.6092939999999999E-3</v>
      </c>
      <c r="O23">
        <v>7.3301479999999999E-3</v>
      </c>
      <c r="P23">
        <v>3.2859999999999999E-3</v>
      </c>
      <c r="Q23">
        <v>3.0950000000000001E-3</v>
      </c>
      <c r="R23">
        <v>3.2759999999999998E-3</v>
      </c>
      <c r="S23">
        <v>4.1120000000000002E-3</v>
      </c>
    </row>
    <row r="24" spans="1:19" x14ac:dyDescent="0.25">
      <c r="B24">
        <v>7107840</v>
      </c>
      <c r="C24">
        <v>8150248</v>
      </c>
      <c r="D24">
        <v>2589414</v>
      </c>
      <c r="E24">
        <v>2732046</v>
      </c>
      <c r="F24">
        <v>334362</v>
      </c>
      <c r="G24">
        <v>412034</v>
      </c>
      <c r="H24">
        <v>6.36</v>
      </c>
      <c r="I24">
        <v>7.13</v>
      </c>
      <c r="N24">
        <v>6.5218029999999996E-3</v>
      </c>
      <c r="O24">
        <v>7.8456110000000006E-3</v>
      </c>
      <c r="P24">
        <v>1.848E-3</v>
      </c>
      <c r="Q24">
        <v>3.094E-3</v>
      </c>
      <c r="R24">
        <v>4.6129999999999999E-3</v>
      </c>
      <c r="S24">
        <v>4.1099999999999999E-3</v>
      </c>
    </row>
    <row r="25" spans="1:19" x14ac:dyDescent="0.25">
      <c r="B25">
        <v>7128260</v>
      </c>
      <c r="C25">
        <v>8132624</v>
      </c>
      <c r="D25">
        <v>2714632</v>
      </c>
      <c r="E25">
        <v>2696218</v>
      </c>
      <c r="F25">
        <v>328242</v>
      </c>
      <c r="G25">
        <v>414316</v>
      </c>
      <c r="H25">
        <v>6.45</v>
      </c>
      <c r="I25">
        <v>7.12</v>
      </c>
      <c r="N25">
        <v>6.6152470000000003E-3</v>
      </c>
      <c r="O25">
        <v>7.3059550000000003E-3</v>
      </c>
      <c r="P25">
        <v>3.2880000000000001E-3</v>
      </c>
      <c r="Q25">
        <v>3.091E-3</v>
      </c>
      <c r="R25">
        <v>3.2789999999999998E-3</v>
      </c>
      <c r="S25">
        <v>4.1079999999999997E-3</v>
      </c>
    </row>
    <row r="26" spans="1:19" x14ac:dyDescent="0.25">
      <c r="B26">
        <v>7061558</v>
      </c>
      <c r="C26">
        <v>8080696</v>
      </c>
      <c r="D26">
        <v>2662126</v>
      </c>
      <c r="E26">
        <v>3116676</v>
      </c>
      <c r="F26">
        <v>334270</v>
      </c>
      <c r="G26">
        <v>337922</v>
      </c>
      <c r="H26">
        <v>6.36</v>
      </c>
      <c r="I26">
        <v>7.28</v>
      </c>
      <c r="N26">
        <v>6.5245950000000002E-3</v>
      </c>
      <c r="O26">
        <v>7.4641600000000001E-3</v>
      </c>
      <c r="P26">
        <v>2.1640000000000001E-3</v>
      </c>
      <c r="Q26">
        <v>2.7690000000000002E-3</v>
      </c>
      <c r="R26">
        <v>4.3109999999999997E-3</v>
      </c>
      <c r="S26">
        <v>4.607E-3</v>
      </c>
    </row>
    <row r="27" spans="1:19" x14ac:dyDescent="0.25">
      <c r="B27">
        <v>7078194</v>
      </c>
      <c r="C27">
        <v>8200798</v>
      </c>
      <c r="D27">
        <v>2661756</v>
      </c>
      <c r="E27">
        <v>3060450</v>
      </c>
      <c r="F27">
        <v>339452</v>
      </c>
      <c r="G27">
        <v>335034</v>
      </c>
      <c r="H27">
        <v>6.36</v>
      </c>
      <c r="I27">
        <v>7.37</v>
      </c>
      <c r="N27">
        <v>6.5268870000000003E-3</v>
      </c>
      <c r="O27">
        <v>7.5650730000000003E-3</v>
      </c>
      <c r="P27">
        <v>2.16E-3</v>
      </c>
      <c r="Q27">
        <v>2.7859999999999998E-3</v>
      </c>
      <c r="R27">
        <v>4.3179999999999998E-3</v>
      </c>
      <c r="S27">
        <v>4.6509999999999998E-3</v>
      </c>
    </row>
    <row r="28" spans="1:19" x14ac:dyDescent="0.25">
      <c r="B28">
        <f>AVERAGE(B18:B27)</f>
        <v>7115788.5999999996</v>
      </c>
      <c r="C28">
        <f t="shared" ref="C28:S28" si="1">AVERAGE(C18:C27)</f>
        <v>8145167.5999999996</v>
      </c>
      <c r="D28">
        <f t="shared" si="1"/>
        <v>2710085.4</v>
      </c>
      <c r="E28">
        <f t="shared" si="1"/>
        <v>2849403.2</v>
      </c>
      <c r="F28">
        <f t="shared" si="1"/>
        <v>330987.40000000002</v>
      </c>
      <c r="G28">
        <f t="shared" si="1"/>
        <v>391985</v>
      </c>
      <c r="H28">
        <f t="shared" si="1"/>
        <v>6.4390000000000001</v>
      </c>
      <c r="I28">
        <f t="shared" si="1"/>
        <v>7.2060000000000004</v>
      </c>
      <c r="J28" t="e">
        <f t="shared" si="1"/>
        <v>#DIV/0!</v>
      </c>
      <c r="K28" t="e">
        <f t="shared" si="1"/>
        <v>#DIV/0!</v>
      </c>
      <c r="L28" t="e">
        <f t="shared" si="1"/>
        <v>#DIV/0!</v>
      </c>
      <c r="M28" t="e">
        <f t="shared" si="1"/>
        <v>#DIV/0!</v>
      </c>
      <c r="N28">
        <f t="shared" si="1"/>
        <v>6.6130861000000003E-3</v>
      </c>
      <c r="O28">
        <f t="shared" si="1"/>
        <v>7.5047918000000005E-3</v>
      </c>
      <c r="P28">
        <f t="shared" si="1"/>
        <v>2.5437999999999997E-3</v>
      </c>
      <c r="Q28">
        <f t="shared" si="1"/>
        <v>3.1148999999999999E-3</v>
      </c>
      <c r="R28">
        <f t="shared" si="1"/>
        <v>4.0199000000000007E-3</v>
      </c>
      <c r="S28">
        <f t="shared" si="1"/>
        <v>4.1704000000000003E-3</v>
      </c>
    </row>
    <row r="29" spans="1:19" x14ac:dyDescent="0.25">
      <c r="C29">
        <f>100*C28/B28</f>
        <v>114.46612677616646</v>
      </c>
      <c r="E29">
        <f>100*E28/D28</f>
        <v>105.14071622982804</v>
      </c>
      <c r="G29">
        <f>100*G28/F28</f>
        <v>118.42897947172611</v>
      </c>
      <c r="I29">
        <f>100*I28/H28</f>
        <v>111.9117875446498</v>
      </c>
      <c r="K29" t="e">
        <f>100*K28/J28</f>
        <v>#DIV/0!</v>
      </c>
      <c r="M29" t="e">
        <f>100*M28/L28</f>
        <v>#DIV/0!</v>
      </c>
      <c r="O29">
        <f>100*O28/N28</f>
        <v>113.48395721023502</v>
      </c>
      <c r="Q29">
        <f>100*Q28/P28</f>
        <v>122.4506643604057</v>
      </c>
      <c r="S29">
        <f>100*S28/R28</f>
        <v>103.743874225727</v>
      </c>
    </row>
    <row r="31" spans="1:19" x14ac:dyDescent="0.25">
      <c r="A31" t="s">
        <v>114</v>
      </c>
    </row>
    <row r="32" spans="1:19" x14ac:dyDescent="0.25">
      <c r="A32" t="s">
        <v>111</v>
      </c>
      <c r="B32" t="s">
        <v>81</v>
      </c>
      <c r="C32" t="s">
        <v>82</v>
      </c>
      <c r="D32" t="s">
        <v>81</v>
      </c>
      <c r="E32" t="s">
        <v>82</v>
      </c>
      <c r="F32" t="s">
        <v>81</v>
      </c>
      <c r="G32" t="s">
        <v>82</v>
      </c>
      <c r="H32" t="s">
        <v>81</v>
      </c>
      <c r="I32" t="s">
        <v>82</v>
      </c>
      <c r="J32" t="s">
        <v>81</v>
      </c>
      <c r="K32" t="s">
        <v>82</v>
      </c>
      <c r="L32" t="s">
        <v>81</v>
      </c>
      <c r="M32" t="s">
        <v>82</v>
      </c>
      <c r="N32" t="s">
        <v>81</v>
      </c>
      <c r="O32" t="s">
        <v>82</v>
      </c>
      <c r="P32" t="s">
        <v>81</v>
      </c>
      <c r="Q32" t="s">
        <v>82</v>
      </c>
      <c r="R32" t="s">
        <v>81</v>
      </c>
      <c r="S32" t="s">
        <v>82</v>
      </c>
    </row>
    <row r="33" spans="1:19" x14ac:dyDescent="0.25">
      <c r="B33" t="s">
        <v>112</v>
      </c>
      <c r="C33" t="s">
        <v>112</v>
      </c>
      <c r="D33" t="s">
        <v>83</v>
      </c>
      <c r="E33" t="s">
        <v>83</v>
      </c>
      <c r="F33" t="s">
        <v>84</v>
      </c>
      <c r="G33" t="s">
        <v>84</v>
      </c>
      <c r="H33" t="s">
        <v>85</v>
      </c>
      <c r="I33" t="s">
        <v>85</v>
      </c>
      <c r="J33" t="s">
        <v>86</v>
      </c>
      <c r="K33" t="s">
        <v>86</v>
      </c>
      <c r="L33" t="s">
        <v>87</v>
      </c>
      <c r="M33" t="s">
        <v>87</v>
      </c>
      <c r="N33" t="s">
        <v>88</v>
      </c>
      <c r="O33" t="s">
        <v>88</v>
      </c>
      <c r="P33" t="s">
        <v>4</v>
      </c>
      <c r="Q33" t="s">
        <v>4</v>
      </c>
      <c r="R33" t="s">
        <v>6</v>
      </c>
      <c r="S33" t="s">
        <v>6</v>
      </c>
    </row>
    <row r="34" spans="1:19" x14ac:dyDescent="0.25">
      <c r="B34">
        <v>39424390</v>
      </c>
      <c r="C34">
        <v>89497700</v>
      </c>
      <c r="D34">
        <v>54290548</v>
      </c>
      <c r="E34">
        <v>70535576</v>
      </c>
      <c r="F34">
        <v>1797542</v>
      </c>
      <c r="G34">
        <v>2170348</v>
      </c>
      <c r="H34">
        <v>48.77</v>
      </c>
      <c r="I34">
        <v>82.14</v>
      </c>
      <c r="N34">
        <v>4.9030378999999999E-2</v>
      </c>
      <c r="O34">
        <v>8.2530686000000006E-2</v>
      </c>
      <c r="P34">
        <v>2.7910999999999998E-2</v>
      </c>
      <c r="Q34">
        <v>3.8127000000000001E-2</v>
      </c>
      <c r="R34">
        <v>2.0945999999999999E-2</v>
      </c>
      <c r="S34">
        <v>4.3178000000000001E-2</v>
      </c>
    </row>
    <row r="35" spans="1:19" x14ac:dyDescent="0.25">
      <c r="B35">
        <v>39194964</v>
      </c>
      <c r="C35">
        <v>88405916</v>
      </c>
      <c r="D35">
        <v>53853038</v>
      </c>
      <c r="E35">
        <v>68461124</v>
      </c>
      <c r="F35">
        <v>1888942</v>
      </c>
      <c r="G35">
        <v>2193698</v>
      </c>
      <c r="H35">
        <v>48.43</v>
      </c>
      <c r="I35">
        <v>80.67</v>
      </c>
      <c r="N35">
        <v>4.8680239E-2</v>
      </c>
      <c r="O35">
        <v>8.0984721999999995E-2</v>
      </c>
      <c r="P35">
        <v>2.7466000000000001E-2</v>
      </c>
      <c r="Q35">
        <v>3.5307999999999999E-2</v>
      </c>
      <c r="R35">
        <v>2.0614E-2</v>
      </c>
      <c r="S35">
        <v>4.4166999999999998E-2</v>
      </c>
    </row>
    <row r="36" spans="1:19" x14ac:dyDescent="0.25">
      <c r="B36">
        <v>39198976</v>
      </c>
      <c r="C36">
        <v>89132434</v>
      </c>
      <c r="D36">
        <v>54116878</v>
      </c>
      <c r="E36">
        <v>67745814</v>
      </c>
      <c r="F36">
        <v>1751510</v>
      </c>
      <c r="G36">
        <v>2175612</v>
      </c>
      <c r="H36">
        <v>48.48</v>
      </c>
      <c r="I36">
        <v>80.650000000000006</v>
      </c>
      <c r="N36">
        <v>4.8729558999999999E-2</v>
      </c>
      <c r="O36">
        <v>8.0945695999999998E-2</v>
      </c>
      <c r="P36">
        <v>2.9541999999999999E-2</v>
      </c>
      <c r="Q36">
        <v>3.4745999999999999E-2</v>
      </c>
      <c r="R36">
        <v>1.8727000000000001E-2</v>
      </c>
      <c r="S36">
        <v>4.4711000000000001E-2</v>
      </c>
    </row>
    <row r="37" spans="1:19" x14ac:dyDescent="0.25">
      <c r="B37">
        <v>39037190</v>
      </c>
      <c r="C37">
        <v>89729176</v>
      </c>
      <c r="D37">
        <v>54283896</v>
      </c>
      <c r="E37">
        <v>67112482</v>
      </c>
      <c r="F37">
        <v>1783602</v>
      </c>
      <c r="G37">
        <v>2184806</v>
      </c>
      <c r="H37">
        <v>48.49</v>
      </c>
      <c r="I37">
        <v>80.63</v>
      </c>
      <c r="N37">
        <v>4.8748079E-2</v>
      </c>
      <c r="O37">
        <v>8.0929736000000002E-2</v>
      </c>
      <c r="P37">
        <v>2.6963000000000001E-2</v>
      </c>
      <c r="Q37">
        <v>3.5746E-2</v>
      </c>
      <c r="R37">
        <v>2.0983999999999999E-2</v>
      </c>
      <c r="S37">
        <v>4.3713000000000002E-2</v>
      </c>
    </row>
    <row r="38" spans="1:19" x14ac:dyDescent="0.25">
      <c r="B38">
        <v>39656022</v>
      </c>
      <c r="C38">
        <v>88334364</v>
      </c>
      <c r="D38">
        <v>53657430</v>
      </c>
      <c r="E38">
        <v>66744738</v>
      </c>
      <c r="F38">
        <v>1795272</v>
      </c>
      <c r="G38">
        <v>2193962</v>
      </c>
      <c r="H38">
        <v>48.42</v>
      </c>
      <c r="I38">
        <v>79.77</v>
      </c>
      <c r="N38">
        <v>4.8722023000000003E-2</v>
      </c>
      <c r="O38">
        <v>8.0074985000000001E-2</v>
      </c>
      <c r="P38">
        <v>2.5492000000000001E-2</v>
      </c>
      <c r="Q38">
        <v>3.1384000000000002E-2</v>
      </c>
      <c r="R38">
        <v>2.2532E-2</v>
      </c>
      <c r="S38">
        <v>4.7104E-2</v>
      </c>
    </row>
    <row r="39" spans="1:19" x14ac:dyDescent="0.25">
      <c r="B39">
        <v>38674068</v>
      </c>
      <c r="C39">
        <v>88458392</v>
      </c>
      <c r="D39">
        <v>56481704</v>
      </c>
      <c r="E39">
        <v>70201490</v>
      </c>
      <c r="F39">
        <v>1792524</v>
      </c>
      <c r="G39">
        <v>2196110</v>
      </c>
      <c r="H39">
        <v>48.6</v>
      </c>
      <c r="I39">
        <v>81.540000000000006</v>
      </c>
      <c r="N39">
        <v>4.9674724000000003E-2</v>
      </c>
      <c r="O39">
        <v>8.1847217E-2</v>
      </c>
      <c r="P39">
        <v>2.9406999999999999E-2</v>
      </c>
      <c r="Q39">
        <v>3.7685000000000003E-2</v>
      </c>
      <c r="R39">
        <v>1.8695E-2</v>
      </c>
      <c r="S39">
        <v>4.2672000000000002E-2</v>
      </c>
    </row>
    <row r="40" spans="1:19" x14ac:dyDescent="0.25">
      <c r="B40">
        <v>39409612</v>
      </c>
      <c r="C40">
        <v>89098138</v>
      </c>
      <c r="D40">
        <v>54064580</v>
      </c>
      <c r="E40">
        <v>67950830</v>
      </c>
      <c r="F40">
        <v>1804158</v>
      </c>
      <c r="G40">
        <v>2183224</v>
      </c>
      <c r="H40">
        <v>48.58</v>
      </c>
      <c r="I40">
        <v>80.75</v>
      </c>
      <c r="N40">
        <v>4.8873705000000003E-2</v>
      </c>
      <c r="O40">
        <v>8.1057958999999999E-2</v>
      </c>
      <c r="P40">
        <v>2.4927999999999999E-2</v>
      </c>
      <c r="Q40">
        <v>3.3346000000000001E-2</v>
      </c>
      <c r="R40">
        <v>2.2939999999999999E-2</v>
      </c>
      <c r="S40">
        <v>4.6129000000000003E-2</v>
      </c>
    </row>
    <row r="41" spans="1:19" x14ac:dyDescent="0.25">
      <c r="B41">
        <v>39308838</v>
      </c>
      <c r="C41">
        <v>88653676</v>
      </c>
      <c r="D41">
        <v>53817716</v>
      </c>
      <c r="E41">
        <v>67379058</v>
      </c>
      <c r="F41">
        <v>1796818</v>
      </c>
      <c r="G41">
        <v>2181444</v>
      </c>
      <c r="H41">
        <v>48.4</v>
      </c>
      <c r="I41">
        <v>80.23</v>
      </c>
      <c r="N41">
        <v>4.8650563000000001E-2</v>
      </c>
      <c r="O41">
        <v>8.0514738000000002E-2</v>
      </c>
      <c r="P41">
        <v>2.6957999999999999E-2</v>
      </c>
      <c r="Q41">
        <v>3.4750999999999997E-2</v>
      </c>
      <c r="R41">
        <v>2.0983000000000002E-2</v>
      </c>
      <c r="S41">
        <v>4.4713000000000003E-2</v>
      </c>
    </row>
    <row r="42" spans="1:19" x14ac:dyDescent="0.25">
      <c r="B42">
        <v>39111398</v>
      </c>
      <c r="C42">
        <v>87806388</v>
      </c>
      <c r="D42">
        <v>53957292</v>
      </c>
      <c r="E42">
        <v>67506884</v>
      </c>
      <c r="F42">
        <v>1812888</v>
      </c>
      <c r="G42">
        <v>2220860</v>
      </c>
      <c r="H42">
        <v>48.4</v>
      </c>
      <c r="I42">
        <v>79.86</v>
      </c>
      <c r="N42">
        <v>4.8656531000000003E-2</v>
      </c>
      <c r="O42">
        <v>8.0166018000000006E-2</v>
      </c>
      <c r="P42">
        <v>2.9604999999999999E-2</v>
      </c>
      <c r="Q42">
        <v>3.5701999999999998E-2</v>
      </c>
      <c r="R42">
        <v>1.8763999999999999E-2</v>
      </c>
      <c r="S42">
        <v>4.3645000000000003E-2</v>
      </c>
    </row>
    <row r="43" spans="1:19" x14ac:dyDescent="0.25">
      <c r="B43">
        <v>39356126</v>
      </c>
      <c r="C43">
        <v>88067416</v>
      </c>
      <c r="D43">
        <v>53924694</v>
      </c>
      <c r="E43">
        <v>66850360</v>
      </c>
      <c r="F43">
        <v>1788520</v>
      </c>
      <c r="G43">
        <v>2265220</v>
      </c>
      <c r="H43">
        <v>48.46</v>
      </c>
      <c r="I43">
        <v>79.72</v>
      </c>
      <c r="N43">
        <v>4.8716378999999997E-2</v>
      </c>
      <c r="O43">
        <v>8.0061720000000003E-2</v>
      </c>
      <c r="P43">
        <v>2.5957000000000001E-2</v>
      </c>
      <c r="Q43">
        <v>3.4707000000000002E-2</v>
      </c>
      <c r="R43">
        <v>2.1977E-2</v>
      </c>
      <c r="S43">
        <v>4.4665000000000003E-2</v>
      </c>
    </row>
    <row r="44" spans="1:19" x14ac:dyDescent="0.25">
      <c r="B44">
        <f>AVERAGE(B34:B43)</f>
        <v>39237158.399999999</v>
      </c>
      <c r="C44">
        <f t="shared" ref="C44:S44" si="2">AVERAGE(C34:C43)</f>
        <v>88718360</v>
      </c>
      <c r="D44">
        <f t="shared" si="2"/>
        <v>54244777.600000001</v>
      </c>
      <c r="E44">
        <f t="shared" si="2"/>
        <v>68048835.599999994</v>
      </c>
      <c r="F44">
        <f t="shared" si="2"/>
        <v>1801177.6</v>
      </c>
      <c r="G44">
        <f t="shared" si="2"/>
        <v>2196528.4</v>
      </c>
      <c r="H44">
        <f t="shared" si="2"/>
        <v>48.503</v>
      </c>
      <c r="I44">
        <f t="shared" si="2"/>
        <v>80.596000000000018</v>
      </c>
      <c r="J44" t="e">
        <f t="shared" si="2"/>
        <v>#DIV/0!</v>
      </c>
      <c r="K44" t="e">
        <f t="shared" si="2"/>
        <v>#DIV/0!</v>
      </c>
      <c r="L44" t="e">
        <f t="shared" si="2"/>
        <v>#DIV/0!</v>
      </c>
      <c r="M44" t="e">
        <f t="shared" si="2"/>
        <v>#DIV/0!</v>
      </c>
      <c r="N44">
        <f t="shared" si="2"/>
        <v>4.8848218099999993E-2</v>
      </c>
      <c r="O44">
        <f t="shared" si="2"/>
        <v>8.0911347699999997E-2</v>
      </c>
      <c r="P44">
        <f t="shared" si="2"/>
        <v>2.74229E-2</v>
      </c>
      <c r="Q44">
        <f t="shared" si="2"/>
        <v>3.51502E-2</v>
      </c>
      <c r="R44">
        <f t="shared" si="2"/>
        <v>2.0716199999999997E-2</v>
      </c>
      <c r="S44">
        <f t="shared" si="2"/>
        <v>4.4469700000000001E-2</v>
      </c>
    </row>
    <row r="45" spans="1:19" x14ac:dyDescent="0.25">
      <c r="C45">
        <f>100*C44/B44</f>
        <v>226.10801499835424</v>
      </c>
      <c r="E45">
        <f>100*E44/D44</f>
        <v>125.44771793847301</v>
      </c>
      <c r="G45">
        <f>100*G44/F44</f>
        <v>121.9495734346241</v>
      </c>
      <c r="I45">
        <f>100*I44/H44</f>
        <v>166.16704121394557</v>
      </c>
      <c r="K45" t="e">
        <f>100*K44/J44</f>
        <v>#DIV/0!</v>
      </c>
      <c r="M45" t="e">
        <f>100*M44/L44</f>
        <v>#DIV/0!</v>
      </c>
      <c r="O45">
        <f>100*O44/N44</f>
        <v>165.63827883007264</v>
      </c>
      <c r="Q45">
        <f>100*Q44/P44</f>
        <v>128.17827436193838</v>
      </c>
      <c r="S45">
        <f>100*S44/R44</f>
        <v>214.66147266390558</v>
      </c>
    </row>
    <row r="47" spans="1:19" x14ac:dyDescent="0.25">
      <c r="A47" t="s">
        <v>115</v>
      </c>
    </row>
    <row r="48" spans="1:19" x14ac:dyDescent="0.25">
      <c r="A48" t="s">
        <v>111</v>
      </c>
      <c r="B48" t="s">
        <v>81</v>
      </c>
      <c r="C48" t="s">
        <v>82</v>
      </c>
      <c r="D48" t="s">
        <v>81</v>
      </c>
      <c r="E48" t="s">
        <v>82</v>
      </c>
      <c r="F48" t="s">
        <v>81</v>
      </c>
      <c r="G48" t="s">
        <v>82</v>
      </c>
      <c r="H48" t="s">
        <v>81</v>
      </c>
      <c r="I48" t="s">
        <v>82</v>
      </c>
      <c r="J48" t="s">
        <v>81</v>
      </c>
      <c r="K48" t="s">
        <v>82</v>
      </c>
      <c r="L48" t="s">
        <v>81</v>
      </c>
      <c r="M48" t="s">
        <v>82</v>
      </c>
      <c r="N48" t="s">
        <v>81</v>
      </c>
      <c r="O48" t="s">
        <v>82</v>
      </c>
      <c r="P48" t="s">
        <v>81</v>
      </c>
      <c r="Q48" t="s">
        <v>82</v>
      </c>
      <c r="R48" t="s">
        <v>81</v>
      </c>
      <c r="S48" t="s">
        <v>82</v>
      </c>
    </row>
    <row r="49" spans="1:19" x14ac:dyDescent="0.25">
      <c r="B49" t="s">
        <v>112</v>
      </c>
      <c r="C49" t="s">
        <v>112</v>
      </c>
      <c r="D49" t="s">
        <v>83</v>
      </c>
      <c r="E49" t="s">
        <v>83</v>
      </c>
      <c r="F49" t="s">
        <v>84</v>
      </c>
      <c r="G49" t="s">
        <v>84</v>
      </c>
      <c r="H49" t="s">
        <v>85</v>
      </c>
      <c r="I49" t="s">
        <v>85</v>
      </c>
      <c r="J49" t="s">
        <v>86</v>
      </c>
      <c r="K49" t="s">
        <v>86</v>
      </c>
      <c r="L49" t="s">
        <v>87</v>
      </c>
      <c r="M49" t="s">
        <v>87</v>
      </c>
      <c r="N49" t="s">
        <v>88</v>
      </c>
      <c r="O49" t="s">
        <v>88</v>
      </c>
      <c r="P49" t="s">
        <v>4</v>
      </c>
      <c r="Q49" t="s">
        <v>4</v>
      </c>
      <c r="R49" t="s">
        <v>6</v>
      </c>
      <c r="S49" t="s">
        <v>6</v>
      </c>
    </row>
    <row r="50" spans="1:19" x14ac:dyDescent="0.25">
      <c r="B50">
        <v>39573860</v>
      </c>
      <c r="C50">
        <v>90313174</v>
      </c>
      <c r="D50">
        <v>54379650</v>
      </c>
      <c r="E50">
        <v>71577134</v>
      </c>
      <c r="F50">
        <v>1858510</v>
      </c>
      <c r="G50">
        <v>2398328</v>
      </c>
      <c r="H50">
        <v>49.37</v>
      </c>
      <c r="I50">
        <v>84.02</v>
      </c>
      <c r="N50">
        <v>4.9660689000000001E-2</v>
      </c>
      <c r="O50">
        <v>8.3845502000000002E-2</v>
      </c>
      <c r="P50">
        <v>2.9576000000000002E-2</v>
      </c>
      <c r="Q50">
        <v>4.052E-2</v>
      </c>
      <c r="R50">
        <v>2.0428999999999999E-2</v>
      </c>
      <c r="S50">
        <v>4.3725E-2</v>
      </c>
    </row>
    <row r="51" spans="1:19" x14ac:dyDescent="0.25">
      <c r="B51">
        <v>39857656</v>
      </c>
      <c r="C51">
        <v>88491226</v>
      </c>
      <c r="D51">
        <v>55797512</v>
      </c>
      <c r="E51">
        <v>71472030</v>
      </c>
      <c r="F51">
        <v>1870112</v>
      </c>
      <c r="G51">
        <v>2301868</v>
      </c>
      <c r="H51">
        <v>50.56</v>
      </c>
      <c r="I51">
        <v>83.25</v>
      </c>
      <c r="N51">
        <v>5.0538248000000001E-2</v>
      </c>
      <c r="O51">
        <v>8.2845765000000002E-2</v>
      </c>
      <c r="P51">
        <v>2.8861000000000001E-2</v>
      </c>
      <c r="Q51">
        <v>3.7206000000000003E-2</v>
      </c>
      <c r="R51">
        <v>2.1943000000000001E-2</v>
      </c>
      <c r="S51">
        <v>4.6441999999999997E-2</v>
      </c>
    </row>
    <row r="52" spans="1:19" x14ac:dyDescent="0.25">
      <c r="B52">
        <v>39327636</v>
      </c>
      <c r="C52">
        <v>88748150</v>
      </c>
      <c r="D52">
        <v>54980680</v>
      </c>
      <c r="E52">
        <v>73892914</v>
      </c>
      <c r="F52">
        <v>1860186</v>
      </c>
      <c r="G52">
        <v>2473962</v>
      </c>
      <c r="H52">
        <v>49.55</v>
      </c>
      <c r="I52">
        <v>84.5</v>
      </c>
      <c r="N52">
        <v>4.9796113000000003E-2</v>
      </c>
      <c r="O52">
        <v>8.4242239999999996E-2</v>
      </c>
      <c r="P52">
        <v>2.7550999999999999E-2</v>
      </c>
      <c r="Q52">
        <v>3.8380999999999998E-2</v>
      </c>
      <c r="R52">
        <v>2.2648999999999999E-2</v>
      </c>
      <c r="S52">
        <v>4.6489999999999997E-2</v>
      </c>
    </row>
    <row r="53" spans="1:19" x14ac:dyDescent="0.25">
      <c r="B53">
        <v>39496562</v>
      </c>
      <c r="C53">
        <v>89108342</v>
      </c>
      <c r="D53">
        <v>55834408</v>
      </c>
      <c r="E53">
        <v>72052138</v>
      </c>
      <c r="F53">
        <v>1875092</v>
      </c>
      <c r="G53">
        <v>2380702</v>
      </c>
      <c r="H53">
        <v>50.27</v>
      </c>
      <c r="I53">
        <v>83.83</v>
      </c>
      <c r="N53">
        <v>5.0350424999999997E-2</v>
      </c>
      <c r="O53">
        <v>8.35177E-2</v>
      </c>
      <c r="P53">
        <v>2.5919999999999999E-2</v>
      </c>
      <c r="Q53">
        <v>3.7907999999999997E-2</v>
      </c>
      <c r="R53">
        <v>2.4989000000000001E-2</v>
      </c>
      <c r="S53">
        <v>4.6073000000000003E-2</v>
      </c>
    </row>
    <row r="54" spans="1:19" x14ac:dyDescent="0.25">
      <c r="B54">
        <v>40345978</v>
      </c>
      <c r="C54">
        <v>88974504</v>
      </c>
      <c r="D54">
        <v>55175882</v>
      </c>
      <c r="E54">
        <v>72109194</v>
      </c>
      <c r="F54">
        <v>1865746</v>
      </c>
      <c r="G54">
        <v>2366230</v>
      </c>
      <c r="H54">
        <v>50.29</v>
      </c>
      <c r="I54">
        <v>83.56</v>
      </c>
      <c r="N54">
        <v>5.0351359999999998E-2</v>
      </c>
      <c r="O54">
        <v>8.3447574999999996E-2</v>
      </c>
      <c r="P54">
        <v>2.8863E-2</v>
      </c>
      <c r="Q54">
        <v>3.8880999999999999E-2</v>
      </c>
      <c r="R54">
        <v>2.1929000000000001E-2</v>
      </c>
      <c r="S54">
        <v>4.4995E-2</v>
      </c>
    </row>
    <row r="55" spans="1:19" x14ac:dyDescent="0.25">
      <c r="B55">
        <v>39344782</v>
      </c>
      <c r="C55">
        <v>89416706</v>
      </c>
      <c r="D55">
        <v>55450220</v>
      </c>
      <c r="E55">
        <v>75677472</v>
      </c>
      <c r="F55">
        <v>1844806</v>
      </c>
      <c r="G55">
        <v>2374668</v>
      </c>
      <c r="H55">
        <v>49.76</v>
      </c>
      <c r="I55">
        <v>85.98</v>
      </c>
      <c r="N55">
        <v>4.9990779999999999E-2</v>
      </c>
      <c r="O55">
        <v>8.5405144000000002E-2</v>
      </c>
      <c r="P55">
        <v>2.9211000000000001E-2</v>
      </c>
      <c r="Q55">
        <v>3.5353999999999997E-2</v>
      </c>
      <c r="R55">
        <v>2.1187999999999999E-2</v>
      </c>
      <c r="S55">
        <v>5.0770000000000003E-2</v>
      </c>
    </row>
    <row r="56" spans="1:19" x14ac:dyDescent="0.25">
      <c r="B56">
        <v>39388256</v>
      </c>
      <c r="C56">
        <v>89997820</v>
      </c>
      <c r="D56">
        <v>55267438</v>
      </c>
      <c r="E56">
        <v>73413260</v>
      </c>
      <c r="F56">
        <v>1895724</v>
      </c>
      <c r="G56">
        <v>2422580</v>
      </c>
      <c r="H56">
        <v>49.74</v>
      </c>
      <c r="I56">
        <v>85.08</v>
      </c>
      <c r="N56">
        <v>4.9968540999999998E-2</v>
      </c>
      <c r="O56">
        <v>8.4635754999999993E-2</v>
      </c>
      <c r="P56">
        <v>2.5661E-2</v>
      </c>
      <c r="Q56">
        <v>3.9529000000000002E-2</v>
      </c>
      <c r="R56">
        <v>2.4712999999999999E-2</v>
      </c>
      <c r="S56">
        <v>4.5683000000000001E-2</v>
      </c>
    </row>
    <row r="57" spans="1:19" x14ac:dyDescent="0.25">
      <c r="B57">
        <v>39715088</v>
      </c>
      <c r="C57">
        <v>88690822</v>
      </c>
      <c r="D57">
        <v>55455530</v>
      </c>
      <c r="E57">
        <v>74758100</v>
      </c>
      <c r="F57">
        <v>1837706</v>
      </c>
      <c r="G57">
        <v>2305600</v>
      </c>
      <c r="H57">
        <v>50.22</v>
      </c>
      <c r="I57">
        <v>84.8</v>
      </c>
      <c r="N57">
        <v>4.9939395999999997E-2</v>
      </c>
      <c r="O57">
        <v>8.4621937999999994E-2</v>
      </c>
      <c r="P57">
        <v>2.8265999999999999E-2</v>
      </c>
      <c r="Q57">
        <v>3.8299E-2</v>
      </c>
      <c r="R57">
        <v>2.2327E-2</v>
      </c>
      <c r="S57">
        <v>4.6566999999999997E-2</v>
      </c>
    </row>
    <row r="58" spans="1:19" x14ac:dyDescent="0.25">
      <c r="B58">
        <v>39624772</v>
      </c>
      <c r="C58">
        <v>89055294</v>
      </c>
      <c r="D58">
        <v>55354740</v>
      </c>
      <c r="E58">
        <v>73511332</v>
      </c>
      <c r="F58">
        <v>1900100</v>
      </c>
      <c r="G58">
        <v>2473932</v>
      </c>
      <c r="H58">
        <v>49.86</v>
      </c>
      <c r="I58">
        <v>84.59</v>
      </c>
      <c r="N58">
        <v>4.9892011E-2</v>
      </c>
      <c r="O58">
        <v>8.4185388E-2</v>
      </c>
      <c r="P58">
        <v>2.8273E-2</v>
      </c>
      <c r="Q58">
        <v>3.7926000000000001E-2</v>
      </c>
      <c r="R58">
        <v>2.2245999999999998E-2</v>
      </c>
      <c r="S58">
        <v>4.6775999999999998E-2</v>
      </c>
    </row>
    <row r="59" spans="1:19" x14ac:dyDescent="0.25">
      <c r="B59">
        <v>39417346</v>
      </c>
      <c r="C59">
        <v>89822942</v>
      </c>
      <c r="D59">
        <v>54514456</v>
      </c>
      <c r="E59">
        <v>73564926</v>
      </c>
      <c r="F59">
        <v>1897276</v>
      </c>
      <c r="G59">
        <v>2316048</v>
      </c>
      <c r="H59">
        <v>49.36</v>
      </c>
      <c r="I59">
        <v>84.92</v>
      </c>
      <c r="N59">
        <v>4.9670415000000002E-2</v>
      </c>
      <c r="O59">
        <v>8.4580259000000005E-2</v>
      </c>
      <c r="P59">
        <v>2.5506999999999998E-2</v>
      </c>
      <c r="Q59">
        <v>4.1598000000000003E-2</v>
      </c>
      <c r="R59">
        <v>2.4528999999999999E-2</v>
      </c>
      <c r="S59">
        <v>4.3698000000000001E-2</v>
      </c>
    </row>
    <row r="60" spans="1:19" x14ac:dyDescent="0.25">
      <c r="B60">
        <f>AVERAGE(B50:B59)</f>
        <v>39609193.600000001</v>
      </c>
      <c r="C60">
        <f t="shared" ref="C60:S60" si="3">AVERAGE(C50:C59)</f>
        <v>89261898</v>
      </c>
      <c r="D60">
        <f t="shared" si="3"/>
        <v>55221051.600000001</v>
      </c>
      <c r="E60">
        <f t="shared" si="3"/>
        <v>73202850</v>
      </c>
      <c r="F60">
        <f t="shared" si="3"/>
        <v>1870525.8</v>
      </c>
      <c r="G60">
        <f t="shared" si="3"/>
        <v>2381391.7999999998</v>
      </c>
      <c r="H60">
        <f t="shared" si="3"/>
        <v>49.898000000000003</v>
      </c>
      <c r="I60">
        <f t="shared" si="3"/>
        <v>84.453000000000003</v>
      </c>
      <c r="J60" t="e">
        <f t="shared" si="3"/>
        <v>#DIV/0!</v>
      </c>
      <c r="K60" t="e">
        <f t="shared" si="3"/>
        <v>#DIV/0!</v>
      </c>
      <c r="L60" t="e">
        <f t="shared" si="3"/>
        <v>#DIV/0!</v>
      </c>
      <c r="M60" t="e">
        <f t="shared" si="3"/>
        <v>#DIV/0!</v>
      </c>
      <c r="N60">
        <f t="shared" si="3"/>
        <v>5.0015797799999998E-2</v>
      </c>
      <c r="O60">
        <f t="shared" si="3"/>
        <v>8.4132726599999985E-2</v>
      </c>
      <c r="P60">
        <f t="shared" si="3"/>
        <v>2.7768900000000003E-2</v>
      </c>
      <c r="Q60">
        <f t="shared" si="3"/>
        <v>3.8560200000000003E-2</v>
      </c>
      <c r="R60">
        <f t="shared" si="3"/>
        <v>2.2694199999999994E-2</v>
      </c>
      <c r="S60">
        <f t="shared" si="3"/>
        <v>4.61219E-2</v>
      </c>
    </row>
    <row r="61" spans="1:19" x14ac:dyDescent="0.25">
      <c r="C61">
        <f>100*C60/B60</f>
        <v>225.35651420078392</v>
      </c>
      <c r="E61">
        <f>100*E60/D60</f>
        <v>132.56330308639033</v>
      </c>
      <c r="G61">
        <f>100*G60/F60</f>
        <v>127.31135812187138</v>
      </c>
      <c r="I61">
        <f>100*I60/H60</f>
        <v>169.25127259609604</v>
      </c>
      <c r="K61" t="e">
        <f>100*K60/J60</f>
        <v>#DIV/0!</v>
      </c>
      <c r="M61" t="e">
        <f>100*M60/L60</f>
        <v>#DIV/0!</v>
      </c>
      <c r="O61">
        <f>100*O60/N60</f>
        <v>168.21230551279939</v>
      </c>
      <c r="Q61">
        <f>100*Q60/P60</f>
        <v>138.86110000756241</v>
      </c>
      <c r="S61">
        <f>100*S60/R60</f>
        <v>203.23210335680488</v>
      </c>
    </row>
    <row r="64" spans="1:19" x14ac:dyDescent="0.25">
      <c r="A64" t="s">
        <v>116</v>
      </c>
      <c r="B64" t="s">
        <v>117</v>
      </c>
      <c r="C64">
        <v>88152434</v>
      </c>
      <c r="F64">
        <v>1</v>
      </c>
      <c r="H64">
        <v>10</v>
      </c>
    </row>
    <row r="65" spans="1:8" x14ac:dyDescent="0.25">
      <c r="A65" t="s">
        <v>116</v>
      </c>
      <c r="B65" t="s">
        <v>117</v>
      </c>
      <c r="C65">
        <v>86768482</v>
      </c>
      <c r="E65" t="s">
        <v>120</v>
      </c>
      <c r="F65">
        <v>3</v>
      </c>
      <c r="H65">
        <v>4</v>
      </c>
    </row>
    <row r="66" spans="1:8" x14ac:dyDescent="0.25">
      <c r="A66" t="s">
        <v>116</v>
      </c>
      <c r="B66" t="s">
        <v>117</v>
      </c>
      <c r="C66">
        <v>86934850</v>
      </c>
    </row>
    <row r="67" spans="1:8" x14ac:dyDescent="0.25">
      <c r="A67" t="s">
        <v>116</v>
      </c>
      <c r="B67" t="s">
        <v>117</v>
      </c>
      <c r="C67">
        <v>87436140</v>
      </c>
    </row>
    <row r="68" spans="1:8" x14ac:dyDescent="0.25">
      <c r="A68" t="s">
        <v>116</v>
      </c>
      <c r="B68" t="s">
        <v>117</v>
      </c>
      <c r="C68">
        <v>86467118</v>
      </c>
    </row>
    <row r="69" spans="1:8" x14ac:dyDescent="0.25">
      <c r="A69" t="s">
        <v>116</v>
      </c>
      <c r="B69" t="s">
        <v>117</v>
      </c>
      <c r="C69">
        <v>86877090</v>
      </c>
    </row>
    <row r="70" spans="1:8" x14ac:dyDescent="0.25">
      <c r="A70" t="s">
        <v>116</v>
      </c>
      <c r="B70" t="s">
        <v>117</v>
      </c>
      <c r="C70">
        <v>87598440</v>
      </c>
    </row>
    <row r="71" spans="1:8" x14ac:dyDescent="0.25">
      <c r="A71" t="s">
        <v>116</v>
      </c>
      <c r="B71" t="s">
        <v>117</v>
      </c>
      <c r="C71">
        <v>86838900</v>
      </c>
    </row>
    <row r="72" spans="1:8" x14ac:dyDescent="0.25">
      <c r="A72" t="s">
        <v>116</v>
      </c>
      <c r="B72" t="s">
        <v>117</v>
      </c>
      <c r="C72">
        <v>86375382</v>
      </c>
    </row>
    <row r="73" spans="1:8" x14ac:dyDescent="0.25">
      <c r="A73" t="s">
        <v>116</v>
      </c>
      <c r="B73" t="s">
        <v>117</v>
      </c>
      <c r="C73">
        <v>86609700</v>
      </c>
    </row>
    <row r="74" spans="1:8" x14ac:dyDescent="0.25">
      <c r="C74">
        <f>AVERAGE(C64:C73)</f>
        <v>87005853.599999994</v>
      </c>
    </row>
    <row r="75" spans="1:8" x14ac:dyDescent="0.25">
      <c r="C75">
        <f>100*C74/B60</f>
        <v>219.66075471932859</v>
      </c>
    </row>
    <row r="90" spans="1:19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</row>
    <row r="91" spans="1:19" x14ac:dyDescent="0.25">
      <c r="B91" t="s">
        <v>112</v>
      </c>
      <c r="C91" t="s">
        <v>112</v>
      </c>
      <c r="D91" t="s">
        <v>83</v>
      </c>
      <c r="E91" t="s">
        <v>83</v>
      </c>
      <c r="F91" t="s">
        <v>84</v>
      </c>
      <c r="G91" t="s">
        <v>84</v>
      </c>
      <c r="H91" t="s">
        <v>85</v>
      </c>
      <c r="I91" t="s">
        <v>85</v>
      </c>
      <c r="J91" t="s">
        <v>86</v>
      </c>
      <c r="K91" t="s">
        <v>86</v>
      </c>
      <c r="L91" t="s">
        <v>87</v>
      </c>
      <c r="M91" t="s">
        <v>87</v>
      </c>
      <c r="N91" t="s">
        <v>88</v>
      </c>
      <c r="O91" t="s">
        <v>88</v>
      </c>
      <c r="P91" t="s">
        <v>4</v>
      </c>
      <c r="Q91" t="s">
        <v>4</v>
      </c>
      <c r="R91" t="s">
        <v>6</v>
      </c>
      <c r="S91" t="s">
        <v>6</v>
      </c>
    </row>
    <row r="92" spans="1:19" x14ac:dyDescent="0.25">
      <c r="B92">
        <v>37657996</v>
      </c>
      <c r="C92">
        <v>82985164</v>
      </c>
      <c r="D92">
        <v>7089572</v>
      </c>
      <c r="E92">
        <v>9529174</v>
      </c>
      <c r="F92">
        <v>1799708</v>
      </c>
      <c r="G92">
        <v>2057444</v>
      </c>
      <c r="H92">
        <v>24.27</v>
      </c>
      <c r="I92">
        <v>48.48</v>
      </c>
      <c r="N92">
        <v>2.4442315999999999E-2</v>
      </c>
      <c r="O92">
        <v>4.8652099999999997E-2</v>
      </c>
      <c r="P92">
        <v>4.0010000000000002E-3</v>
      </c>
      <c r="Q92">
        <v>7.9030000000000003E-3</v>
      </c>
      <c r="R92">
        <v>2.001E-2</v>
      </c>
      <c r="S92">
        <v>3.9544000000000003E-2</v>
      </c>
    </row>
    <row r="93" spans="1:19" x14ac:dyDescent="0.25">
      <c r="B93">
        <v>37636996</v>
      </c>
      <c r="C93">
        <v>84264838</v>
      </c>
      <c r="D93">
        <v>6814112</v>
      </c>
      <c r="E93">
        <v>10075404</v>
      </c>
      <c r="F93">
        <v>1847434</v>
      </c>
      <c r="G93">
        <v>2091478</v>
      </c>
      <c r="H93">
        <v>24.12</v>
      </c>
      <c r="I93">
        <v>49.35</v>
      </c>
      <c r="N93">
        <v>2.4315461999999999E-2</v>
      </c>
      <c r="O93">
        <v>4.9520605000000002E-2</v>
      </c>
      <c r="P93">
        <v>5.9300000000000004E-3</v>
      </c>
      <c r="Q93">
        <v>6.8669999999999998E-3</v>
      </c>
      <c r="R93">
        <v>1.7794999999999998E-2</v>
      </c>
      <c r="S93">
        <v>4.2173000000000002E-2</v>
      </c>
    </row>
    <row r="94" spans="1:19" x14ac:dyDescent="0.25">
      <c r="B94">
        <v>37116870</v>
      </c>
      <c r="C94">
        <v>84138812</v>
      </c>
      <c r="D94">
        <v>6769298</v>
      </c>
      <c r="E94">
        <v>9575516</v>
      </c>
      <c r="F94">
        <v>1739634</v>
      </c>
      <c r="G94">
        <v>2031286</v>
      </c>
      <c r="H94">
        <v>23.79</v>
      </c>
      <c r="I94">
        <v>49</v>
      </c>
      <c r="N94">
        <v>2.3955846999999999E-2</v>
      </c>
      <c r="O94">
        <v>4.9168641999999999E-2</v>
      </c>
      <c r="P94">
        <v>4.1469999999999996E-3</v>
      </c>
      <c r="Q94">
        <v>8.9320000000000007E-3</v>
      </c>
      <c r="R94">
        <v>1.9706999999999999E-2</v>
      </c>
      <c r="S94">
        <v>3.9678999999999999E-2</v>
      </c>
    </row>
    <row r="95" spans="1:19" x14ac:dyDescent="0.25">
      <c r="B95">
        <v>37465120</v>
      </c>
      <c r="C95">
        <v>82798860</v>
      </c>
      <c r="D95">
        <v>6859222</v>
      </c>
      <c r="E95">
        <v>9684694</v>
      </c>
      <c r="F95">
        <v>1860928</v>
      </c>
      <c r="G95">
        <v>2036070</v>
      </c>
      <c r="H95">
        <v>24.06</v>
      </c>
      <c r="I95">
        <v>48.38</v>
      </c>
      <c r="N95">
        <v>2.4244984000000001E-2</v>
      </c>
      <c r="O95">
        <v>4.8548897000000001E-2</v>
      </c>
      <c r="P95">
        <v>3.8479999999999999E-3</v>
      </c>
      <c r="Q95">
        <v>5.9560000000000004E-3</v>
      </c>
      <c r="R95">
        <v>2.0230999999999999E-2</v>
      </c>
      <c r="S95">
        <v>4.1683999999999999E-2</v>
      </c>
    </row>
    <row r="96" spans="1:19" x14ac:dyDescent="0.25">
      <c r="B96">
        <v>37466306</v>
      </c>
      <c r="C96">
        <v>84392150</v>
      </c>
      <c r="D96">
        <v>6946230</v>
      </c>
      <c r="E96">
        <v>9999890</v>
      </c>
      <c r="F96">
        <v>1837250</v>
      </c>
      <c r="G96">
        <v>2039734</v>
      </c>
      <c r="H96">
        <v>24.09</v>
      </c>
      <c r="I96">
        <v>49.35</v>
      </c>
      <c r="N96">
        <v>2.4269125999999999E-2</v>
      </c>
      <c r="O96">
        <v>4.9565700999999997E-2</v>
      </c>
      <c r="P96">
        <v>3.9870000000000001E-3</v>
      </c>
      <c r="Q96">
        <v>7.7990000000000004E-3</v>
      </c>
      <c r="R96">
        <v>1.9970999999999999E-2</v>
      </c>
      <c r="S96">
        <v>4.0955999999999999E-2</v>
      </c>
    </row>
    <row r="97" spans="2:19" x14ac:dyDescent="0.25">
      <c r="B97">
        <v>37487804</v>
      </c>
      <c r="C97">
        <v>83725578</v>
      </c>
      <c r="D97">
        <v>7184928</v>
      </c>
      <c r="E97">
        <v>10509496</v>
      </c>
      <c r="F97">
        <v>1767070</v>
      </c>
      <c r="G97">
        <v>2031504</v>
      </c>
      <c r="H97">
        <v>24.21</v>
      </c>
      <c r="I97">
        <v>49.28</v>
      </c>
      <c r="N97">
        <v>2.4377332000000002E-2</v>
      </c>
      <c r="O97">
        <v>4.9493110999999999E-2</v>
      </c>
      <c r="P97">
        <v>4.9509999999999997E-3</v>
      </c>
      <c r="Q97">
        <v>8.914E-3</v>
      </c>
      <c r="R97">
        <v>1.8818999999999999E-2</v>
      </c>
      <c r="S97">
        <v>3.9696000000000002E-2</v>
      </c>
    </row>
    <row r="98" spans="2:19" x14ac:dyDescent="0.25">
      <c r="B98">
        <v>37034872</v>
      </c>
      <c r="C98">
        <v>83785198</v>
      </c>
      <c r="D98">
        <v>7084046</v>
      </c>
      <c r="E98">
        <v>9635024</v>
      </c>
      <c r="F98">
        <v>1867900</v>
      </c>
      <c r="G98">
        <v>2056634</v>
      </c>
      <c r="H98">
        <v>23.97</v>
      </c>
      <c r="I98">
        <v>48.82</v>
      </c>
      <c r="N98">
        <v>2.4141979000000001E-2</v>
      </c>
      <c r="O98">
        <v>4.9026754999999998E-2</v>
      </c>
      <c r="P98">
        <v>5.9959999999999996E-3</v>
      </c>
      <c r="Q98">
        <v>6.8469999999999998E-3</v>
      </c>
      <c r="R98">
        <v>1.7994E-2</v>
      </c>
      <c r="S98">
        <v>4.1085999999999998E-2</v>
      </c>
    </row>
    <row r="99" spans="2:19" x14ac:dyDescent="0.25">
      <c r="B99">
        <v>37478634</v>
      </c>
      <c r="C99">
        <v>84393824</v>
      </c>
      <c r="D99">
        <v>7148886</v>
      </c>
      <c r="E99">
        <v>9629840</v>
      </c>
      <c r="F99">
        <v>1818710</v>
      </c>
      <c r="G99">
        <v>2038740</v>
      </c>
      <c r="H99">
        <v>24.22</v>
      </c>
      <c r="I99">
        <v>49.17</v>
      </c>
      <c r="N99">
        <v>2.4384757999999999E-2</v>
      </c>
      <c r="O99">
        <v>4.9365632999999999E-2</v>
      </c>
      <c r="P99">
        <v>6.9080000000000001E-3</v>
      </c>
      <c r="Q99">
        <v>7.9500000000000005E-3</v>
      </c>
      <c r="R99">
        <v>1.6778999999999999E-2</v>
      </c>
      <c r="S99">
        <v>4.0732999999999998E-2</v>
      </c>
    </row>
    <row r="100" spans="2:19" x14ac:dyDescent="0.25">
      <c r="B100">
        <v>37418090</v>
      </c>
      <c r="C100">
        <v>83178692</v>
      </c>
      <c r="D100">
        <v>6856192</v>
      </c>
      <c r="E100">
        <v>10317142</v>
      </c>
      <c r="F100">
        <v>1783158</v>
      </c>
      <c r="G100">
        <v>2028032</v>
      </c>
      <c r="H100">
        <v>24.02</v>
      </c>
      <c r="I100">
        <v>48.92</v>
      </c>
      <c r="N100">
        <v>2.4187508E-2</v>
      </c>
      <c r="O100">
        <v>4.9135138000000002E-2</v>
      </c>
      <c r="P100">
        <v>5.744E-3</v>
      </c>
      <c r="Q100">
        <v>7.9240000000000005E-3</v>
      </c>
      <c r="R100">
        <v>1.8201999999999999E-2</v>
      </c>
      <c r="S100">
        <v>4.0689999999999997E-2</v>
      </c>
    </row>
    <row r="101" spans="2:19" x14ac:dyDescent="0.25">
      <c r="B101">
        <v>37496128</v>
      </c>
      <c r="C101">
        <v>83763894</v>
      </c>
      <c r="D101">
        <v>6838320</v>
      </c>
      <c r="E101">
        <v>9650118</v>
      </c>
      <c r="F101">
        <v>1764724</v>
      </c>
      <c r="G101">
        <v>2036898</v>
      </c>
      <c r="H101">
        <v>24.01</v>
      </c>
      <c r="I101">
        <v>48.85</v>
      </c>
      <c r="N101">
        <v>2.4204585000000001E-2</v>
      </c>
      <c r="O101">
        <v>4.9048418000000003E-2</v>
      </c>
      <c r="P101">
        <v>5.9899999999999997E-3</v>
      </c>
      <c r="Q101">
        <v>9.9290000000000003E-3</v>
      </c>
      <c r="R101">
        <v>1.7975999999999999E-2</v>
      </c>
      <c r="S101">
        <v>3.7740999999999997E-2</v>
      </c>
    </row>
    <row r="102" spans="2:19" x14ac:dyDescent="0.25">
      <c r="B102">
        <f>AVERAGE(B92:B101)</f>
        <v>37425881.600000001</v>
      </c>
      <c r="C102">
        <f t="shared" ref="C102:S102" si="4">AVERAGE(C92:C101)</f>
        <v>83742701</v>
      </c>
      <c r="D102">
        <f t="shared" si="4"/>
        <v>6959080.5999999996</v>
      </c>
      <c r="E102">
        <f t="shared" si="4"/>
        <v>9860629.8000000007</v>
      </c>
      <c r="F102">
        <f t="shared" si="4"/>
        <v>1808651.6</v>
      </c>
      <c r="G102">
        <f t="shared" si="4"/>
        <v>2044782</v>
      </c>
      <c r="H102">
        <f t="shared" si="4"/>
        <v>24.076000000000001</v>
      </c>
      <c r="I102">
        <f t="shared" si="4"/>
        <v>48.96</v>
      </c>
      <c r="J102" t="e">
        <f t="shared" si="4"/>
        <v>#DIV/0!</v>
      </c>
      <c r="K102" t="e">
        <f t="shared" si="4"/>
        <v>#DIV/0!</v>
      </c>
      <c r="L102" t="e">
        <f t="shared" si="4"/>
        <v>#DIV/0!</v>
      </c>
      <c r="M102" t="e">
        <f t="shared" si="4"/>
        <v>#DIV/0!</v>
      </c>
      <c r="N102">
        <f t="shared" si="4"/>
        <v>2.4252389700000002E-2</v>
      </c>
      <c r="O102">
        <f t="shared" si="4"/>
        <v>4.9152500000000002E-2</v>
      </c>
      <c r="P102">
        <f t="shared" si="4"/>
        <v>5.1501999999999997E-3</v>
      </c>
      <c r="Q102">
        <f t="shared" si="4"/>
        <v>7.9021000000000004E-3</v>
      </c>
      <c r="R102">
        <f t="shared" si="4"/>
        <v>1.8748399999999998E-2</v>
      </c>
      <c r="S102">
        <f t="shared" si="4"/>
        <v>4.0398200000000009E-2</v>
      </c>
    </row>
    <row r="103" spans="2:19" x14ac:dyDescent="0.25">
      <c r="C103">
        <f>100*C102/B102</f>
        <v>223.75612121853129</v>
      </c>
      <c r="E103">
        <f>100*E102/D102</f>
        <v>141.69443302610983</v>
      </c>
      <c r="G103">
        <f>100*G102/F102</f>
        <v>113.05560451775233</v>
      </c>
      <c r="I103">
        <f>100*I102/H102</f>
        <v>203.35603920917094</v>
      </c>
      <c r="O103">
        <f>100*O102/N102</f>
        <v>202.67074959627587</v>
      </c>
      <c r="Q103">
        <f>100*Q102/P102</f>
        <v>153.4328763931498</v>
      </c>
      <c r="S103">
        <f>100*S102/R102</f>
        <v>215.47545390539997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BAFF6-F771-49F6-85E6-E21B49CCA7E7}">
  <dimension ref="A1:S103"/>
  <sheetViews>
    <sheetView topLeftCell="A85" workbookViewId="0">
      <selection activeCell="S103" sqref="S103"/>
    </sheetView>
  </sheetViews>
  <sheetFormatPr defaultRowHeight="15" x14ac:dyDescent="0.25"/>
  <cols>
    <col min="3" max="3" width="10" bestFit="1" customWidth="1"/>
  </cols>
  <sheetData>
    <row r="1" spans="1:19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</row>
    <row r="2" spans="1:19" x14ac:dyDescent="0.25">
      <c r="B2" t="s">
        <v>112</v>
      </c>
      <c r="C2" t="s">
        <v>112</v>
      </c>
      <c r="D2" t="s">
        <v>83</v>
      </c>
      <c r="E2" t="s">
        <v>83</v>
      </c>
      <c r="F2" t="s">
        <v>84</v>
      </c>
      <c r="G2" t="s">
        <v>84</v>
      </c>
      <c r="H2" t="s">
        <v>85</v>
      </c>
      <c r="I2" t="s">
        <v>85</v>
      </c>
      <c r="J2" t="s">
        <v>86</v>
      </c>
      <c r="K2" t="s">
        <v>86</v>
      </c>
      <c r="L2" t="s">
        <v>87</v>
      </c>
      <c r="M2" t="s">
        <v>87</v>
      </c>
      <c r="N2" t="s">
        <v>88</v>
      </c>
      <c r="O2" t="s">
        <v>88</v>
      </c>
      <c r="P2" t="s">
        <v>4</v>
      </c>
      <c r="Q2" t="s">
        <v>4</v>
      </c>
      <c r="R2" t="s">
        <v>6</v>
      </c>
      <c r="S2" t="s">
        <v>6</v>
      </c>
    </row>
    <row r="3" spans="1:19" x14ac:dyDescent="0.25">
      <c r="B3">
        <v>56939204</v>
      </c>
      <c r="C3">
        <v>121015088</v>
      </c>
      <c r="D3">
        <v>1124108</v>
      </c>
      <c r="E3">
        <v>3442364</v>
      </c>
      <c r="F3">
        <v>2492398</v>
      </c>
      <c r="G3">
        <v>2780402</v>
      </c>
      <c r="H3">
        <v>31.35</v>
      </c>
      <c r="I3">
        <v>64.83</v>
      </c>
      <c r="J3">
        <v>9</v>
      </c>
      <c r="K3">
        <v>11</v>
      </c>
      <c r="L3">
        <v>655</v>
      </c>
      <c r="M3">
        <v>656</v>
      </c>
      <c r="N3">
        <v>3.1524128999999998E-2</v>
      </c>
      <c r="O3">
        <v>6.5030749999999998E-2</v>
      </c>
      <c r="P3">
        <v>0</v>
      </c>
      <c r="Q3">
        <v>7.9209999999999992E-3</v>
      </c>
      <c r="R3">
        <v>3.1014E-2</v>
      </c>
      <c r="S3">
        <v>5.6535000000000002E-2</v>
      </c>
    </row>
    <row r="4" spans="1:19" x14ac:dyDescent="0.25">
      <c r="B4">
        <v>57676338</v>
      </c>
      <c r="C4">
        <v>120599020</v>
      </c>
      <c r="D4">
        <v>1058794</v>
      </c>
      <c r="E4">
        <v>3493386</v>
      </c>
      <c r="F4">
        <v>2467992</v>
      </c>
      <c r="G4">
        <v>2807690</v>
      </c>
      <c r="H4">
        <v>31.65</v>
      </c>
      <c r="I4">
        <v>64.67</v>
      </c>
      <c r="J4">
        <v>9</v>
      </c>
      <c r="K4">
        <v>9</v>
      </c>
      <c r="L4">
        <v>654</v>
      </c>
      <c r="M4">
        <v>654</v>
      </c>
      <c r="N4">
        <v>3.1869377999999997E-2</v>
      </c>
      <c r="O4">
        <v>6.4842345999999995E-2</v>
      </c>
      <c r="P4">
        <v>2.9629999999999999E-3</v>
      </c>
      <c r="Q4">
        <v>5.0200000000000002E-3</v>
      </c>
      <c r="R4">
        <v>2.8642000000000001E-2</v>
      </c>
      <c r="S4">
        <v>5.9325999999999997E-2</v>
      </c>
    </row>
    <row r="5" spans="1:19" x14ac:dyDescent="0.25">
      <c r="B5">
        <v>56828192</v>
      </c>
      <c r="C5">
        <v>120815244</v>
      </c>
      <c r="D5">
        <v>1112188</v>
      </c>
      <c r="E5">
        <v>3432746</v>
      </c>
      <c r="F5">
        <v>2439422</v>
      </c>
      <c r="G5">
        <v>2880662</v>
      </c>
      <c r="H5">
        <v>31.24</v>
      </c>
      <c r="I5">
        <v>64.739999999999995</v>
      </c>
      <c r="J5">
        <v>9</v>
      </c>
      <c r="K5">
        <v>10</v>
      </c>
      <c r="L5">
        <v>656</v>
      </c>
      <c r="M5">
        <v>654</v>
      </c>
      <c r="N5">
        <v>3.1406155999999998E-2</v>
      </c>
      <c r="O5">
        <v>6.4922532000000005E-2</v>
      </c>
      <c r="P5">
        <v>2.9970000000000001E-3</v>
      </c>
      <c r="Q5">
        <v>5.0330000000000001E-3</v>
      </c>
      <c r="R5">
        <v>2.7999E-2</v>
      </c>
      <c r="S5">
        <v>5.9401000000000002E-2</v>
      </c>
    </row>
    <row r="6" spans="1:19" x14ac:dyDescent="0.25">
      <c r="B6">
        <v>57111424</v>
      </c>
      <c r="C6">
        <v>121502564</v>
      </c>
      <c r="D6">
        <v>1081118</v>
      </c>
      <c r="E6">
        <v>3450772</v>
      </c>
      <c r="F6">
        <v>2528496</v>
      </c>
      <c r="G6">
        <v>2896856</v>
      </c>
      <c r="H6">
        <v>31.38</v>
      </c>
      <c r="I6">
        <v>65.069999999999993</v>
      </c>
      <c r="J6">
        <v>9</v>
      </c>
      <c r="K6">
        <v>9</v>
      </c>
      <c r="L6">
        <v>654</v>
      </c>
      <c r="M6">
        <v>657</v>
      </c>
      <c r="N6">
        <v>3.1541441000000003E-2</v>
      </c>
      <c r="O6">
        <v>6.5283443999999996E-2</v>
      </c>
      <c r="P6">
        <v>1.9980000000000002E-3</v>
      </c>
      <c r="Q6">
        <v>3.9680000000000002E-3</v>
      </c>
      <c r="R6">
        <v>2.8978E-2</v>
      </c>
      <c r="S6">
        <v>6.0532999999999997E-2</v>
      </c>
    </row>
    <row r="7" spans="1:19" x14ac:dyDescent="0.25">
      <c r="B7">
        <v>56737728</v>
      </c>
      <c r="C7">
        <v>120434640</v>
      </c>
      <c r="D7">
        <v>1069256</v>
      </c>
      <c r="E7">
        <v>3458342</v>
      </c>
      <c r="F7">
        <v>2451948</v>
      </c>
      <c r="G7">
        <v>2830388</v>
      </c>
      <c r="H7">
        <v>31.14</v>
      </c>
      <c r="I7">
        <v>64.52</v>
      </c>
      <c r="J7">
        <v>9</v>
      </c>
      <c r="K7">
        <v>16</v>
      </c>
      <c r="L7">
        <v>656</v>
      </c>
      <c r="M7">
        <v>655</v>
      </c>
      <c r="N7">
        <v>3.1304295000000003E-2</v>
      </c>
      <c r="O7">
        <v>6.4720176000000004E-2</v>
      </c>
      <c r="P7">
        <v>1.9980000000000002E-3</v>
      </c>
      <c r="Q7">
        <v>8.0169999999999998E-3</v>
      </c>
      <c r="R7">
        <v>2.8979000000000001E-2</v>
      </c>
      <c r="S7">
        <v>5.6158E-2</v>
      </c>
    </row>
    <row r="8" spans="1:19" x14ac:dyDescent="0.25">
      <c r="B8">
        <v>56574662</v>
      </c>
      <c r="C8">
        <v>120969978</v>
      </c>
      <c r="D8">
        <v>1078496</v>
      </c>
      <c r="E8">
        <v>3463004</v>
      </c>
      <c r="F8">
        <v>2497546</v>
      </c>
      <c r="G8">
        <v>2842490</v>
      </c>
      <c r="H8">
        <v>31.13</v>
      </c>
      <c r="I8">
        <v>64.819999999999993</v>
      </c>
      <c r="J8">
        <v>11</v>
      </c>
      <c r="K8">
        <v>11</v>
      </c>
      <c r="L8">
        <v>655</v>
      </c>
      <c r="M8">
        <v>657</v>
      </c>
      <c r="N8">
        <v>3.1346024E-2</v>
      </c>
      <c r="O8">
        <v>6.5070698999999996E-2</v>
      </c>
      <c r="P8">
        <v>9.9599999999999992E-4</v>
      </c>
      <c r="Q8">
        <v>5.0369999999999998E-3</v>
      </c>
      <c r="R8">
        <v>2.9989999999999999E-2</v>
      </c>
      <c r="S8">
        <v>5.9468E-2</v>
      </c>
    </row>
    <row r="9" spans="1:19" x14ac:dyDescent="0.25">
      <c r="B9">
        <v>57005974</v>
      </c>
      <c r="C9">
        <v>120890392</v>
      </c>
      <c r="D9">
        <v>1082408</v>
      </c>
      <c r="E9">
        <v>3480160</v>
      </c>
      <c r="F9">
        <v>2467006</v>
      </c>
      <c r="G9">
        <v>2859920</v>
      </c>
      <c r="H9">
        <v>31.28</v>
      </c>
      <c r="I9">
        <v>64.819999999999993</v>
      </c>
      <c r="J9">
        <v>9</v>
      </c>
      <c r="K9">
        <v>10</v>
      </c>
      <c r="L9">
        <v>655</v>
      </c>
      <c r="M9">
        <v>656</v>
      </c>
      <c r="N9">
        <v>3.1442900000000003E-2</v>
      </c>
      <c r="O9">
        <v>6.4989476000000004E-2</v>
      </c>
      <c r="P9">
        <v>2E-3</v>
      </c>
      <c r="Q9">
        <v>5.9490000000000003E-3</v>
      </c>
      <c r="R9">
        <v>2.8996999999999998E-2</v>
      </c>
      <c r="S9">
        <v>5.8539000000000001E-2</v>
      </c>
    </row>
    <row r="10" spans="1:19" x14ac:dyDescent="0.25">
      <c r="B10">
        <v>57109862</v>
      </c>
      <c r="C10">
        <v>121134334</v>
      </c>
      <c r="D10">
        <v>1102044</v>
      </c>
      <c r="E10">
        <v>3403518</v>
      </c>
      <c r="F10">
        <v>2518078</v>
      </c>
      <c r="G10">
        <v>2843360</v>
      </c>
      <c r="H10">
        <v>31.41</v>
      </c>
      <c r="I10">
        <v>64.89</v>
      </c>
      <c r="J10">
        <v>8</v>
      </c>
      <c r="K10">
        <v>9</v>
      </c>
      <c r="L10">
        <v>655</v>
      </c>
      <c r="M10">
        <v>654</v>
      </c>
      <c r="N10">
        <v>3.1583763000000001E-2</v>
      </c>
      <c r="O10">
        <v>6.5065821999999995E-2</v>
      </c>
      <c r="P10">
        <v>3.9969999999999997E-3</v>
      </c>
      <c r="Q10">
        <v>4.9630000000000004E-3</v>
      </c>
      <c r="R10">
        <v>2.6991000000000001E-2</v>
      </c>
      <c r="S10">
        <v>5.9594000000000001E-2</v>
      </c>
    </row>
    <row r="11" spans="1:19" x14ac:dyDescent="0.25">
      <c r="B11">
        <v>57113080</v>
      </c>
      <c r="C11">
        <v>120380462</v>
      </c>
      <c r="D11">
        <v>1081938</v>
      </c>
      <c r="E11">
        <v>3387586</v>
      </c>
      <c r="F11">
        <v>2386154</v>
      </c>
      <c r="G11">
        <v>2836726</v>
      </c>
      <c r="H11">
        <v>31.28</v>
      </c>
      <c r="I11">
        <v>64.61</v>
      </c>
      <c r="J11">
        <v>10</v>
      </c>
      <c r="K11">
        <v>11</v>
      </c>
      <c r="L11">
        <v>655</v>
      </c>
      <c r="M11">
        <v>656</v>
      </c>
      <c r="N11">
        <v>3.1457464999999997E-2</v>
      </c>
      <c r="O11">
        <v>6.4778922000000003E-2</v>
      </c>
      <c r="P11">
        <v>2.9160000000000002E-3</v>
      </c>
      <c r="Q11">
        <v>5.0169999999999998E-3</v>
      </c>
      <c r="R11">
        <v>2.8209000000000001E-2</v>
      </c>
      <c r="S11">
        <v>5.9262000000000002E-2</v>
      </c>
    </row>
    <row r="12" spans="1:19" x14ac:dyDescent="0.25">
      <c r="B12">
        <v>57014752</v>
      </c>
      <c r="C12">
        <v>119425646</v>
      </c>
      <c r="D12">
        <v>1104580</v>
      </c>
      <c r="E12">
        <v>3475460</v>
      </c>
      <c r="F12">
        <v>2544546</v>
      </c>
      <c r="G12">
        <v>2834434</v>
      </c>
      <c r="H12">
        <v>31.35</v>
      </c>
      <c r="I12">
        <v>64.12</v>
      </c>
      <c r="J12">
        <v>9</v>
      </c>
      <c r="K12">
        <v>10</v>
      </c>
      <c r="L12">
        <v>655</v>
      </c>
      <c r="M12">
        <v>654</v>
      </c>
      <c r="N12">
        <v>3.1510880999999998E-2</v>
      </c>
      <c r="O12">
        <v>6.4294426000000002E-2</v>
      </c>
      <c r="P12">
        <v>9.9299999999999996E-4</v>
      </c>
      <c r="Q12">
        <v>3.9709999999999997E-3</v>
      </c>
      <c r="R12">
        <v>2.9853999999999999E-2</v>
      </c>
      <c r="S12">
        <v>5.9632999999999999E-2</v>
      </c>
    </row>
    <row r="13" spans="1:19" x14ac:dyDescent="0.25">
      <c r="B13">
        <f>AVERAGE(B3:B12)</f>
        <v>57011121.600000001</v>
      </c>
      <c r="C13">
        <f t="shared" ref="C13:S13" si="0">AVERAGE(C3:C12)</f>
        <v>120716736.8</v>
      </c>
      <c r="D13">
        <f t="shared" si="0"/>
        <v>1089493</v>
      </c>
      <c r="E13">
        <f t="shared" si="0"/>
        <v>3448733.8</v>
      </c>
      <c r="F13">
        <f t="shared" si="0"/>
        <v>2479358.6</v>
      </c>
      <c r="G13">
        <f t="shared" si="0"/>
        <v>2841292.7999999998</v>
      </c>
      <c r="H13">
        <f t="shared" si="0"/>
        <v>31.321000000000005</v>
      </c>
      <c r="I13">
        <f t="shared" si="0"/>
        <v>64.709000000000003</v>
      </c>
      <c r="J13">
        <f t="shared" si="0"/>
        <v>9.1999999999999993</v>
      </c>
      <c r="K13">
        <f t="shared" si="0"/>
        <v>10.6</v>
      </c>
      <c r="L13">
        <f t="shared" si="0"/>
        <v>655</v>
      </c>
      <c r="M13">
        <f t="shared" si="0"/>
        <v>655.29999999999995</v>
      </c>
      <c r="N13">
        <f t="shared" si="0"/>
        <v>3.1498643199999996E-2</v>
      </c>
      <c r="O13">
        <f t="shared" si="0"/>
        <v>6.4899859300000001E-2</v>
      </c>
      <c r="P13">
        <f t="shared" si="0"/>
        <v>2.0858000000000001E-3</v>
      </c>
      <c r="Q13">
        <f t="shared" si="0"/>
        <v>5.4896000000000007E-3</v>
      </c>
      <c r="R13">
        <f t="shared" si="0"/>
        <v>2.8965299999999992E-2</v>
      </c>
      <c r="S13">
        <f t="shared" si="0"/>
        <v>5.8844900000000012E-2</v>
      </c>
    </row>
    <row r="14" spans="1:19" x14ac:dyDescent="0.25">
      <c r="C14">
        <f>100*C13/B13</f>
        <v>211.74243447966123</v>
      </c>
      <c r="E14">
        <f>100*E13/D13</f>
        <v>316.54483323894692</v>
      </c>
      <c r="G14">
        <f>100*G13/F13</f>
        <v>114.59789640756283</v>
      </c>
      <c r="I14">
        <f>100*I13/H13</f>
        <v>206.59940614922894</v>
      </c>
      <c r="K14">
        <f>100*K13/J13</f>
        <v>115.21739130434783</v>
      </c>
      <c r="M14">
        <f>100*M13/L13</f>
        <v>100.04580152671754</v>
      </c>
      <c r="O14">
        <f>100*O13/N13</f>
        <v>206.04017413677047</v>
      </c>
      <c r="Q14">
        <f>100*Q13/P13</f>
        <v>263.18918400613677</v>
      </c>
      <c r="S14">
        <f>100*S13/R13</f>
        <v>203.15653557877886</v>
      </c>
    </row>
    <row r="16" spans="1:19" x14ac:dyDescent="0.25">
      <c r="A16" t="s">
        <v>107</v>
      </c>
      <c r="B16" t="s">
        <v>81</v>
      </c>
      <c r="C16" t="s">
        <v>82</v>
      </c>
      <c r="D16" t="s">
        <v>81</v>
      </c>
      <c r="E16" t="s">
        <v>82</v>
      </c>
      <c r="F16" t="s">
        <v>81</v>
      </c>
      <c r="G16" t="s">
        <v>82</v>
      </c>
      <c r="H16" t="s">
        <v>81</v>
      </c>
      <c r="I16" t="s">
        <v>82</v>
      </c>
      <c r="J16" t="s">
        <v>81</v>
      </c>
      <c r="K16" t="s">
        <v>82</v>
      </c>
      <c r="L16" t="s">
        <v>81</v>
      </c>
      <c r="M16" t="s">
        <v>82</v>
      </c>
      <c r="N16" t="s">
        <v>81</v>
      </c>
      <c r="O16" t="s">
        <v>82</v>
      </c>
      <c r="P16" t="s">
        <v>81</v>
      </c>
      <c r="Q16" t="s">
        <v>82</v>
      </c>
      <c r="R16" t="s">
        <v>81</v>
      </c>
      <c r="S16" t="s">
        <v>82</v>
      </c>
    </row>
    <row r="17" spans="1:19" x14ac:dyDescent="0.25">
      <c r="B17" t="s">
        <v>112</v>
      </c>
      <c r="C17" t="s">
        <v>112</v>
      </c>
      <c r="D17" t="s">
        <v>83</v>
      </c>
      <c r="E17" t="s">
        <v>83</v>
      </c>
      <c r="F17" t="s">
        <v>84</v>
      </c>
      <c r="G17" t="s">
        <v>84</v>
      </c>
      <c r="H17" t="s">
        <v>85</v>
      </c>
      <c r="I17" t="s">
        <v>85</v>
      </c>
      <c r="J17" t="s">
        <v>86</v>
      </c>
      <c r="K17" t="s">
        <v>86</v>
      </c>
      <c r="L17" t="s">
        <v>87</v>
      </c>
      <c r="M17" t="s">
        <v>87</v>
      </c>
      <c r="N17" t="s">
        <v>88</v>
      </c>
      <c r="O17" t="s">
        <v>88</v>
      </c>
      <c r="P17" t="s">
        <v>4</v>
      </c>
      <c r="Q17" t="s">
        <v>4</v>
      </c>
      <c r="R17" t="s">
        <v>6</v>
      </c>
      <c r="S17" t="s">
        <v>6</v>
      </c>
    </row>
    <row r="18" spans="1:19" x14ac:dyDescent="0.25">
      <c r="B18">
        <v>10833250</v>
      </c>
      <c r="C18">
        <v>12654172</v>
      </c>
      <c r="D18">
        <v>179042</v>
      </c>
      <c r="E18">
        <v>187022</v>
      </c>
      <c r="F18">
        <v>414366</v>
      </c>
      <c r="G18">
        <v>506506</v>
      </c>
      <c r="H18">
        <v>7.19</v>
      </c>
      <c r="I18">
        <v>8.34</v>
      </c>
      <c r="N18">
        <v>7.353114E-3</v>
      </c>
      <c r="O18">
        <v>8.5382879999999998E-3</v>
      </c>
      <c r="P18">
        <v>3.1259999999999999E-3</v>
      </c>
      <c r="Q18">
        <v>2.1099999999999999E-3</v>
      </c>
      <c r="R18">
        <v>4.1830000000000001E-3</v>
      </c>
      <c r="S18">
        <v>6.332E-3</v>
      </c>
    </row>
    <row r="19" spans="1:19" x14ac:dyDescent="0.25">
      <c r="B19">
        <v>11087958</v>
      </c>
      <c r="C19">
        <v>12957526</v>
      </c>
      <c r="D19">
        <v>177540</v>
      </c>
      <c r="E19">
        <v>260206</v>
      </c>
      <c r="F19">
        <v>408502</v>
      </c>
      <c r="G19">
        <v>422890</v>
      </c>
      <c r="H19">
        <v>7.25</v>
      </c>
      <c r="I19">
        <v>8.34</v>
      </c>
      <c r="N19">
        <v>7.3955310000000003E-3</v>
      </c>
      <c r="O19">
        <v>8.5283479999999998E-3</v>
      </c>
      <c r="P19">
        <v>2.0999999999999999E-3</v>
      </c>
      <c r="Q19">
        <v>2.1120000000000002E-3</v>
      </c>
      <c r="R19">
        <v>5.2500000000000003E-3</v>
      </c>
      <c r="S19">
        <v>6.3200000000000001E-3</v>
      </c>
    </row>
    <row r="20" spans="1:19" x14ac:dyDescent="0.25">
      <c r="B20">
        <v>10438692</v>
      </c>
      <c r="C20">
        <v>12635498</v>
      </c>
      <c r="D20">
        <v>218058</v>
      </c>
      <c r="E20">
        <v>188572</v>
      </c>
      <c r="F20">
        <v>377736</v>
      </c>
      <c r="G20">
        <v>491704</v>
      </c>
      <c r="H20">
        <v>6.85</v>
      </c>
      <c r="I20">
        <v>8.11</v>
      </c>
      <c r="N20">
        <v>6.9982459999999996E-3</v>
      </c>
      <c r="O20">
        <v>8.298906E-3</v>
      </c>
      <c r="P20">
        <v>2.977E-3</v>
      </c>
      <c r="Q20">
        <v>3.078E-3</v>
      </c>
      <c r="R20">
        <v>3.9699999999999996E-3</v>
      </c>
      <c r="S20">
        <v>5.1120000000000002E-3</v>
      </c>
    </row>
    <row r="21" spans="1:19" x14ac:dyDescent="0.25">
      <c r="B21">
        <v>10580970</v>
      </c>
      <c r="C21">
        <v>12332776</v>
      </c>
      <c r="D21">
        <v>174812</v>
      </c>
      <c r="E21">
        <v>178970</v>
      </c>
      <c r="F21">
        <v>388744</v>
      </c>
      <c r="G21">
        <v>386348</v>
      </c>
      <c r="H21">
        <v>6.93</v>
      </c>
      <c r="I21">
        <v>7.97</v>
      </c>
      <c r="N21">
        <v>7.083397E-3</v>
      </c>
      <c r="O21">
        <v>8.1509319999999996E-3</v>
      </c>
      <c r="P21">
        <v>1.0059999999999999E-3</v>
      </c>
      <c r="Q21">
        <v>2.016E-3</v>
      </c>
      <c r="R21">
        <v>6.0270000000000002E-3</v>
      </c>
      <c r="S21">
        <v>6.0299999999999998E-3</v>
      </c>
    </row>
    <row r="22" spans="1:19" x14ac:dyDescent="0.25">
      <c r="B22">
        <v>10731638</v>
      </c>
      <c r="C22">
        <v>12573306</v>
      </c>
      <c r="D22">
        <v>218654</v>
      </c>
      <c r="E22">
        <v>186478</v>
      </c>
      <c r="F22">
        <v>380462</v>
      </c>
      <c r="G22">
        <v>404338</v>
      </c>
      <c r="H22">
        <v>6.98</v>
      </c>
      <c r="I22">
        <v>8.07</v>
      </c>
      <c r="N22">
        <v>7.1344019999999998E-3</v>
      </c>
      <c r="O22">
        <v>8.2390380000000006E-3</v>
      </c>
      <c r="P22">
        <v>2.0270000000000002E-3</v>
      </c>
      <c r="Q22">
        <v>2.0370000000000002E-3</v>
      </c>
      <c r="R22">
        <v>5.0569999999999999E-3</v>
      </c>
      <c r="S22">
        <v>6.0980000000000001E-3</v>
      </c>
    </row>
    <row r="23" spans="1:19" x14ac:dyDescent="0.25">
      <c r="B23">
        <v>10371598</v>
      </c>
      <c r="C23">
        <v>12350348</v>
      </c>
      <c r="D23">
        <v>178668</v>
      </c>
      <c r="E23">
        <v>179844</v>
      </c>
      <c r="F23">
        <v>387518</v>
      </c>
      <c r="G23">
        <v>390892</v>
      </c>
      <c r="H23">
        <v>6.79</v>
      </c>
      <c r="I23">
        <v>7.95</v>
      </c>
      <c r="N23">
        <v>6.9523120000000004E-3</v>
      </c>
      <c r="O23">
        <v>8.1223340000000002E-3</v>
      </c>
      <c r="P23">
        <v>2.3059999999999999E-3</v>
      </c>
      <c r="Q23">
        <v>1.005E-3</v>
      </c>
      <c r="R23">
        <v>4.6080000000000001E-3</v>
      </c>
      <c r="S23">
        <v>6.966E-3</v>
      </c>
    </row>
    <row r="24" spans="1:19" x14ac:dyDescent="0.25">
      <c r="B24">
        <v>10726536</v>
      </c>
      <c r="C24">
        <v>12781440</v>
      </c>
      <c r="D24">
        <v>179630</v>
      </c>
      <c r="E24">
        <v>268444</v>
      </c>
      <c r="F24">
        <v>407838</v>
      </c>
      <c r="G24">
        <v>394272</v>
      </c>
      <c r="H24">
        <v>6.98</v>
      </c>
      <c r="I24">
        <v>8.1999999999999993</v>
      </c>
      <c r="N24">
        <v>7.1792660000000001E-3</v>
      </c>
      <c r="O24">
        <v>8.4095200000000002E-3</v>
      </c>
      <c r="P24">
        <v>4.052E-3</v>
      </c>
      <c r="Q24">
        <v>2.0669999999999998E-3</v>
      </c>
      <c r="R24">
        <v>3.0279999999999999E-3</v>
      </c>
      <c r="S24">
        <v>6.2399999999999999E-3</v>
      </c>
    </row>
    <row r="25" spans="1:19" x14ac:dyDescent="0.25">
      <c r="B25">
        <v>11021078</v>
      </c>
      <c r="C25">
        <v>12388136</v>
      </c>
      <c r="D25">
        <v>179832</v>
      </c>
      <c r="E25">
        <v>180638</v>
      </c>
      <c r="F25">
        <v>405796</v>
      </c>
      <c r="G25">
        <v>518906</v>
      </c>
      <c r="H25">
        <v>7.11</v>
      </c>
      <c r="I25">
        <v>8.0299999999999994</v>
      </c>
      <c r="N25">
        <v>7.2690760000000002E-3</v>
      </c>
      <c r="O25">
        <v>8.2440870000000006E-3</v>
      </c>
      <c r="P25">
        <v>1.031E-3</v>
      </c>
      <c r="Q25">
        <v>3.0530000000000002E-3</v>
      </c>
      <c r="R25">
        <v>6.1780000000000003E-3</v>
      </c>
      <c r="S25">
        <v>5.0670000000000003E-3</v>
      </c>
    </row>
    <row r="26" spans="1:19" x14ac:dyDescent="0.25">
      <c r="B26">
        <v>10757428</v>
      </c>
      <c r="C26">
        <v>12490388</v>
      </c>
      <c r="D26">
        <v>180298</v>
      </c>
      <c r="E26">
        <v>182290</v>
      </c>
      <c r="F26">
        <v>398694</v>
      </c>
      <c r="G26">
        <v>518904</v>
      </c>
      <c r="H26">
        <v>6.98</v>
      </c>
      <c r="I26">
        <v>8.1</v>
      </c>
      <c r="N26">
        <v>7.1370820000000003E-3</v>
      </c>
      <c r="O26">
        <v>8.3085920000000001E-3</v>
      </c>
      <c r="P26">
        <v>1.0139999999999999E-3</v>
      </c>
      <c r="Q26">
        <v>4.0949999999999997E-3</v>
      </c>
      <c r="R26">
        <v>6.071E-3</v>
      </c>
      <c r="S26">
        <v>4.1139999999999996E-3</v>
      </c>
    </row>
    <row r="27" spans="1:19" x14ac:dyDescent="0.25">
      <c r="B27">
        <v>10620770</v>
      </c>
      <c r="C27">
        <v>12320500</v>
      </c>
      <c r="D27">
        <v>203622</v>
      </c>
      <c r="E27">
        <v>179462</v>
      </c>
      <c r="F27">
        <v>394488</v>
      </c>
      <c r="G27">
        <v>511008</v>
      </c>
      <c r="H27">
        <v>6.96</v>
      </c>
      <c r="I27">
        <v>7.99</v>
      </c>
      <c r="N27">
        <v>7.1204340000000001E-3</v>
      </c>
      <c r="O27">
        <v>8.2435249999999998E-3</v>
      </c>
      <c r="P27">
        <v>1.011E-3</v>
      </c>
      <c r="Q27">
        <v>2.0110000000000002E-3</v>
      </c>
      <c r="R27">
        <v>6.0569999999999999E-3</v>
      </c>
      <c r="S27">
        <v>6.0769999999999999E-3</v>
      </c>
    </row>
    <row r="28" spans="1:19" x14ac:dyDescent="0.25">
      <c r="B28">
        <f>AVERAGE(B18:B27)</f>
        <v>10716991.800000001</v>
      </c>
      <c r="C28">
        <f t="shared" ref="C28:S28" si="1">AVERAGE(C18:C27)</f>
        <v>12548409</v>
      </c>
      <c r="D28">
        <f t="shared" si="1"/>
        <v>189015.6</v>
      </c>
      <c r="E28">
        <f t="shared" si="1"/>
        <v>199192.6</v>
      </c>
      <c r="F28">
        <f t="shared" si="1"/>
        <v>396414.4</v>
      </c>
      <c r="G28">
        <f t="shared" si="1"/>
        <v>454576.8</v>
      </c>
      <c r="H28">
        <f t="shared" si="1"/>
        <v>7.0019999999999998</v>
      </c>
      <c r="I28">
        <f t="shared" si="1"/>
        <v>8.11</v>
      </c>
      <c r="J28" t="e">
        <f t="shared" si="1"/>
        <v>#DIV/0!</v>
      </c>
      <c r="K28" t="e">
        <f t="shared" si="1"/>
        <v>#DIV/0!</v>
      </c>
      <c r="L28" t="e">
        <f t="shared" si="1"/>
        <v>#DIV/0!</v>
      </c>
      <c r="M28" t="e">
        <f t="shared" si="1"/>
        <v>#DIV/0!</v>
      </c>
      <c r="N28">
        <f t="shared" si="1"/>
        <v>7.1622859999999995E-3</v>
      </c>
      <c r="O28">
        <f t="shared" si="1"/>
        <v>8.3083569999999989E-3</v>
      </c>
      <c r="P28">
        <f t="shared" si="1"/>
        <v>2.065E-3</v>
      </c>
      <c r="Q28">
        <f t="shared" si="1"/>
        <v>2.3584000000000001E-3</v>
      </c>
      <c r="R28">
        <f t="shared" si="1"/>
        <v>5.0429000000000003E-3</v>
      </c>
      <c r="S28">
        <f t="shared" si="1"/>
        <v>5.8356000000000007E-3</v>
      </c>
    </row>
    <row r="29" spans="1:19" x14ac:dyDescent="0.25">
      <c r="C29">
        <f>100*C28/B28</f>
        <v>117.08891108790434</v>
      </c>
      <c r="E29">
        <f>100*E28/D28</f>
        <v>105.38421167353383</v>
      </c>
      <c r="G29">
        <f>100*G28/F28</f>
        <v>114.67212089167295</v>
      </c>
      <c r="I29">
        <f>100*I28/H28</f>
        <v>115.82405027135104</v>
      </c>
      <c r="K29" t="e">
        <f>100*K28/J28</f>
        <v>#DIV/0!</v>
      </c>
      <c r="M29" t="e">
        <f>100*M28/L28</f>
        <v>#DIV/0!</v>
      </c>
      <c r="O29">
        <f>100*O28/N28</f>
        <v>116.0014693632731</v>
      </c>
      <c r="Q29">
        <f>100*Q28/P28</f>
        <v>114.20823244552058</v>
      </c>
      <c r="S29">
        <f>100*S28/R28</f>
        <v>115.71912986575185</v>
      </c>
    </row>
    <row r="31" spans="1:19" x14ac:dyDescent="0.25">
      <c r="A31" t="s">
        <v>114</v>
      </c>
    </row>
    <row r="32" spans="1:19" x14ac:dyDescent="0.25">
      <c r="A32" t="s">
        <v>111</v>
      </c>
      <c r="B32" t="s">
        <v>81</v>
      </c>
      <c r="C32" t="s">
        <v>82</v>
      </c>
      <c r="D32" t="s">
        <v>81</v>
      </c>
      <c r="E32" t="s">
        <v>82</v>
      </c>
      <c r="F32" t="s">
        <v>81</v>
      </c>
      <c r="G32" t="s">
        <v>82</v>
      </c>
      <c r="H32" t="s">
        <v>81</v>
      </c>
      <c r="I32" t="s">
        <v>82</v>
      </c>
      <c r="J32" t="s">
        <v>81</v>
      </c>
      <c r="K32" t="s">
        <v>82</v>
      </c>
      <c r="L32" t="s">
        <v>81</v>
      </c>
      <c r="M32" t="s">
        <v>82</v>
      </c>
      <c r="N32" t="s">
        <v>81</v>
      </c>
      <c r="O32" t="s">
        <v>82</v>
      </c>
      <c r="P32" t="s">
        <v>81</v>
      </c>
      <c r="Q32" t="s">
        <v>82</v>
      </c>
      <c r="R32" t="s">
        <v>81</v>
      </c>
      <c r="S32" t="s">
        <v>82</v>
      </c>
    </row>
    <row r="33" spans="1:19" x14ac:dyDescent="0.25">
      <c r="B33" t="s">
        <v>112</v>
      </c>
      <c r="C33" t="s">
        <v>112</v>
      </c>
      <c r="D33" t="s">
        <v>83</v>
      </c>
      <c r="E33" t="s">
        <v>83</v>
      </c>
      <c r="F33" t="s">
        <v>84</v>
      </c>
      <c r="G33" t="s">
        <v>84</v>
      </c>
      <c r="H33" t="s">
        <v>85</v>
      </c>
      <c r="I33" t="s">
        <v>85</v>
      </c>
      <c r="J33" t="s">
        <v>86</v>
      </c>
      <c r="K33" t="s">
        <v>86</v>
      </c>
      <c r="L33" t="s">
        <v>87</v>
      </c>
      <c r="M33" t="s">
        <v>87</v>
      </c>
      <c r="N33" t="s">
        <v>88</v>
      </c>
      <c r="O33" t="s">
        <v>88</v>
      </c>
      <c r="P33" t="s">
        <v>4</v>
      </c>
      <c r="Q33" t="s">
        <v>4</v>
      </c>
      <c r="R33" t="s">
        <v>6</v>
      </c>
      <c r="S33" t="s">
        <v>6</v>
      </c>
    </row>
    <row r="34" spans="1:19" x14ac:dyDescent="0.25">
      <c r="B34">
        <v>57049628</v>
      </c>
      <c r="C34">
        <v>123129600</v>
      </c>
      <c r="D34">
        <v>1349340</v>
      </c>
      <c r="E34">
        <v>4085300</v>
      </c>
      <c r="F34">
        <v>2334094</v>
      </c>
      <c r="G34">
        <v>2844248</v>
      </c>
      <c r="H34">
        <v>31.8</v>
      </c>
      <c r="I34">
        <v>66.25</v>
      </c>
      <c r="N34">
        <v>3.2003139999999999E-2</v>
      </c>
      <c r="O34">
        <v>6.6451879000000005E-2</v>
      </c>
      <c r="P34">
        <v>2.9030000000000002E-3</v>
      </c>
      <c r="Q34">
        <v>7.986E-3</v>
      </c>
      <c r="R34">
        <v>2.8060000000000002E-2</v>
      </c>
      <c r="S34">
        <v>5.7948E-2</v>
      </c>
    </row>
    <row r="35" spans="1:19" x14ac:dyDescent="0.25">
      <c r="B35">
        <v>57219626</v>
      </c>
      <c r="C35">
        <v>123848844</v>
      </c>
      <c r="D35">
        <v>1355652</v>
      </c>
      <c r="E35">
        <v>4113552</v>
      </c>
      <c r="F35">
        <v>2483466</v>
      </c>
      <c r="G35">
        <v>2822224</v>
      </c>
      <c r="H35">
        <v>31.59</v>
      </c>
      <c r="I35">
        <v>66.62</v>
      </c>
      <c r="N35">
        <v>3.1815701000000002E-2</v>
      </c>
      <c r="O35">
        <v>6.6805209000000004E-2</v>
      </c>
      <c r="P35">
        <v>1.9949999999999998E-3</v>
      </c>
      <c r="Q35">
        <v>6.0229999999999997E-3</v>
      </c>
      <c r="R35">
        <v>2.8936E-2</v>
      </c>
      <c r="S35">
        <v>6.0284999999999998E-2</v>
      </c>
    </row>
    <row r="36" spans="1:19" x14ac:dyDescent="0.25">
      <c r="B36">
        <v>57455396</v>
      </c>
      <c r="C36">
        <v>123644222</v>
      </c>
      <c r="D36">
        <v>1377492</v>
      </c>
      <c r="E36">
        <v>4095274</v>
      </c>
      <c r="F36">
        <v>2364642</v>
      </c>
      <c r="G36">
        <v>2902746</v>
      </c>
      <c r="H36">
        <v>31.62</v>
      </c>
      <c r="I36">
        <v>66.52</v>
      </c>
      <c r="N36">
        <v>3.1772309999999998E-2</v>
      </c>
      <c r="O36">
        <v>6.6716153E-2</v>
      </c>
      <c r="P36">
        <v>2.928E-3</v>
      </c>
      <c r="Q36">
        <v>6.9080000000000001E-3</v>
      </c>
      <c r="R36">
        <v>2.8316999999999998E-2</v>
      </c>
      <c r="S36">
        <v>5.9257999999999998E-2</v>
      </c>
    </row>
    <row r="37" spans="1:19" x14ac:dyDescent="0.25">
      <c r="B37">
        <v>57013332</v>
      </c>
      <c r="C37">
        <v>123572826</v>
      </c>
      <c r="D37">
        <v>1371710</v>
      </c>
      <c r="E37">
        <v>4065514</v>
      </c>
      <c r="F37">
        <v>2305672</v>
      </c>
      <c r="G37">
        <v>2873916</v>
      </c>
      <c r="H37">
        <v>31.38</v>
      </c>
      <c r="I37">
        <v>66.44</v>
      </c>
      <c r="N37">
        <v>3.1573499999999997E-2</v>
      </c>
      <c r="O37">
        <v>6.6656247000000002E-2</v>
      </c>
      <c r="P37">
        <v>4.9820000000000003E-3</v>
      </c>
      <c r="Q37">
        <v>1.0160000000000001E-2</v>
      </c>
      <c r="R37">
        <v>2.5954999999999999E-2</v>
      </c>
      <c r="S37">
        <v>5.5910000000000001E-2</v>
      </c>
    </row>
    <row r="38" spans="1:19" x14ac:dyDescent="0.25">
      <c r="B38">
        <v>57577754</v>
      </c>
      <c r="C38">
        <v>122619576</v>
      </c>
      <c r="D38">
        <v>1331538</v>
      </c>
      <c r="E38">
        <v>4129590</v>
      </c>
      <c r="F38">
        <v>2330196</v>
      </c>
      <c r="G38">
        <v>2830794</v>
      </c>
      <c r="H38">
        <v>31.65</v>
      </c>
      <c r="I38">
        <v>66.010000000000005</v>
      </c>
      <c r="N38">
        <v>3.1808867999999997E-2</v>
      </c>
      <c r="O38">
        <v>6.6185976999999993E-2</v>
      </c>
      <c r="P38">
        <v>3.9439999999999996E-3</v>
      </c>
      <c r="Q38">
        <v>3.9740000000000001E-3</v>
      </c>
      <c r="R38">
        <v>2.7616999999999999E-2</v>
      </c>
      <c r="S38">
        <v>6.1691999999999997E-2</v>
      </c>
    </row>
    <row r="39" spans="1:19" x14ac:dyDescent="0.25">
      <c r="B39">
        <v>57163676</v>
      </c>
      <c r="C39">
        <v>123305312</v>
      </c>
      <c r="D39">
        <v>1342844</v>
      </c>
      <c r="E39">
        <v>4113906</v>
      </c>
      <c r="F39">
        <v>2369624</v>
      </c>
      <c r="G39">
        <v>2813320</v>
      </c>
      <c r="H39">
        <v>31.5</v>
      </c>
      <c r="I39">
        <v>66.37</v>
      </c>
      <c r="N39">
        <v>3.1688661999999999E-2</v>
      </c>
      <c r="O39">
        <v>6.6601373000000005E-2</v>
      </c>
      <c r="P39">
        <v>2.9759999999999999E-3</v>
      </c>
      <c r="Q39">
        <v>7.9880000000000003E-3</v>
      </c>
      <c r="R39">
        <v>2.7896000000000001E-2</v>
      </c>
      <c r="S39">
        <v>5.8090000000000003E-2</v>
      </c>
    </row>
    <row r="40" spans="1:19" x14ac:dyDescent="0.25">
      <c r="B40">
        <v>57157720</v>
      </c>
      <c r="C40">
        <v>124015106</v>
      </c>
      <c r="D40">
        <v>1353454</v>
      </c>
      <c r="E40">
        <v>4155218</v>
      </c>
      <c r="F40">
        <v>2385870</v>
      </c>
      <c r="G40">
        <v>2833548</v>
      </c>
      <c r="H40">
        <v>31.46</v>
      </c>
      <c r="I40">
        <v>66.75</v>
      </c>
      <c r="N40">
        <v>3.1653050000000002E-2</v>
      </c>
      <c r="O40">
        <v>6.6927967000000005E-2</v>
      </c>
      <c r="P40">
        <v>2.8930000000000002E-3</v>
      </c>
      <c r="Q40">
        <v>7.9209999999999992E-3</v>
      </c>
      <c r="R40">
        <v>2.8032999999999999E-2</v>
      </c>
      <c r="S40">
        <v>5.8439999999999999E-2</v>
      </c>
    </row>
    <row r="41" spans="1:19" x14ac:dyDescent="0.25">
      <c r="B41">
        <v>57166512</v>
      </c>
      <c r="C41">
        <v>123305516</v>
      </c>
      <c r="D41">
        <v>1358958</v>
      </c>
      <c r="E41">
        <v>4078910</v>
      </c>
      <c r="F41">
        <v>2335968</v>
      </c>
      <c r="G41">
        <v>2898008</v>
      </c>
      <c r="H41">
        <v>31.49</v>
      </c>
      <c r="I41">
        <v>66.38</v>
      </c>
      <c r="N41">
        <v>3.1680229999999997E-2</v>
      </c>
      <c r="O41">
        <v>6.6607439000000004E-2</v>
      </c>
      <c r="P41">
        <v>5.0000000000000001E-3</v>
      </c>
      <c r="Q41">
        <v>3.9870000000000001E-3</v>
      </c>
      <c r="R41">
        <v>2.6009999999999998E-2</v>
      </c>
      <c r="S41">
        <v>6.2099000000000001E-2</v>
      </c>
    </row>
    <row r="42" spans="1:19" x14ac:dyDescent="0.25">
      <c r="B42">
        <v>57074904</v>
      </c>
      <c r="C42">
        <v>123520528</v>
      </c>
      <c r="D42">
        <v>1340476</v>
      </c>
      <c r="E42">
        <v>4171842</v>
      </c>
      <c r="F42">
        <v>2347438</v>
      </c>
      <c r="G42">
        <v>2799060</v>
      </c>
      <c r="H42">
        <v>31.41</v>
      </c>
      <c r="I42">
        <v>66.459999999999994</v>
      </c>
      <c r="N42">
        <v>3.1561577E-2</v>
      </c>
      <c r="O42">
        <v>6.6640050000000006E-2</v>
      </c>
      <c r="P42">
        <v>2.9859999999999999E-3</v>
      </c>
      <c r="Q42">
        <v>6.0089999999999996E-3</v>
      </c>
      <c r="R42">
        <v>2.7886999999999999E-2</v>
      </c>
      <c r="S42">
        <v>6.0113E-2</v>
      </c>
    </row>
    <row r="43" spans="1:19" x14ac:dyDescent="0.25">
      <c r="B43">
        <v>56957440</v>
      </c>
      <c r="C43">
        <v>123683750</v>
      </c>
      <c r="D43">
        <v>1338242</v>
      </c>
      <c r="E43">
        <v>4139380</v>
      </c>
      <c r="F43">
        <v>2699010</v>
      </c>
      <c r="G43">
        <v>2791844</v>
      </c>
      <c r="H43">
        <v>31.52</v>
      </c>
      <c r="I43">
        <v>66.5</v>
      </c>
      <c r="N43">
        <v>3.1750755999999998E-2</v>
      </c>
      <c r="O43">
        <v>6.6689753000000004E-2</v>
      </c>
      <c r="P43">
        <v>3.96E-3</v>
      </c>
      <c r="Q43">
        <v>6.0070000000000002E-3</v>
      </c>
      <c r="R43">
        <v>2.6877000000000002E-2</v>
      </c>
      <c r="S43">
        <v>6.0144999999999997E-2</v>
      </c>
    </row>
    <row r="44" spans="1:19" x14ac:dyDescent="0.25">
      <c r="B44">
        <f>AVERAGE(B34:B43)</f>
        <v>57183598.799999997</v>
      </c>
      <c r="C44">
        <f t="shared" ref="C44:R44" si="2">AVERAGE(C34:C43)</f>
        <v>123464528</v>
      </c>
      <c r="D44">
        <f t="shared" si="2"/>
        <v>1351970.6</v>
      </c>
      <c r="E44">
        <f t="shared" si="2"/>
        <v>4114848.6</v>
      </c>
      <c r="F44">
        <f t="shared" si="2"/>
        <v>2395598</v>
      </c>
      <c r="G44">
        <f t="shared" si="2"/>
        <v>2840970.8</v>
      </c>
      <c r="H44">
        <f t="shared" si="2"/>
        <v>31.542000000000002</v>
      </c>
      <c r="I44">
        <f t="shared" si="2"/>
        <v>66.429999999999993</v>
      </c>
      <c r="J44" t="e">
        <f t="shared" si="2"/>
        <v>#DIV/0!</v>
      </c>
      <c r="K44" t="e">
        <f t="shared" si="2"/>
        <v>#DIV/0!</v>
      </c>
      <c r="L44" t="e">
        <f t="shared" si="2"/>
        <v>#DIV/0!</v>
      </c>
      <c r="M44" t="e">
        <f t="shared" si="2"/>
        <v>#DIV/0!</v>
      </c>
      <c r="N44">
        <f t="shared" si="2"/>
        <v>3.1730779399999999E-2</v>
      </c>
      <c r="O44">
        <f t="shared" si="2"/>
        <v>6.6628204699999999E-2</v>
      </c>
      <c r="P44">
        <f t="shared" si="2"/>
        <v>3.4567000000000001E-3</v>
      </c>
      <c r="Q44">
        <f t="shared" si="2"/>
        <v>6.6962999999999996E-3</v>
      </c>
      <c r="R44">
        <f t="shared" si="2"/>
        <v>2.7558800000000001E-2</v>
      </c>
      <c r="S44">
        <f>AVERAGE(S34:S43)</f>
        <v>5.9398000000000006E-2</v>
      </c>
    </row>
    <row r="45" spans="1:19" x14ac:dyDescent="0.25">
      <c r="C45">
        <f>100*C44/B44</f>
        <v>215.90898542747891</v>
      </c>
      <c r="E45">
        <f>100*E44/D44</f>
        <v>304.35932556521567</v>
      </c>
      <c r="G45">
        <f>100*G44/F44</f>
        <v>118.59129954190979</v>
      </c>
      <c r="I45">
        <f>100*I44/H44</f>
        <v>210.60807811806475</v>
      </c>
      <c r="K45" t="e">
        <f>100*K44/J44</f>
        <v>#DIV/0!</v>
      </c>
      <c r="M45" t="e">
        <f>100*M44/L44</f>
        <v>#DIV/0!</v>
      </c>
      <c r="O45">
        <f>100*O44/N44</f>
        <v>209.9797293349813</v>
      </c>
      <c r="Q45">
        <f>100*Q44/P44</f>
        <v>193.71944339977432</v>
      </c>
      <c r="S45">
        <f>100*S44/R44</f>
        <v>215.53188092369771</v>
      </c>
    </row>
    <row r="47" spans="1:19" x14ac:dyDescent="0.25">
      <c r="A47" t="s">
        <v>115</v>
      </c>
    </row>
    <row r="48" spans="1:19" x14ac:dyDescent="0.25">
      <c r="A48" t="s">
        <v>111</v>
      </c>
      <c r="B48" t="s">
        <v>81</v>
      </c>
      <c r="C48" t="s">
        <v>82</v>
      </c>
      <c r="D48" t="s">
        <v>81</v>
      </c>
      <c r="E48" t="s">
        <v>82</v>
      </c>
      <c r="F48" t="s">
        <v>81</v>
      </c>
      <c r="G48" t="s">
        <v>82</v>
      </c>
      <c r="H48" t="s">
        <v>81</v>
      </c>
      <c r="I48" t="s">
        <v>82</v>
      </c>
      <c r="J48" t="s">
        <v>81</v>
      </c>
      <c r="K48" t="s">
        <v>82</v>
      </c>
      <c r="L48" t="s">
        <v>81</v>
      </c>
      <c r="M48" t="s">
        <v>82</v>
      </c>
      <c r="N48" t="s">
        <v>81</v>
      </c>
      <c r="O48" t="s">
        <v>82</v>
      </c>
      <c r="P48" t="s">
        <v>81</v>
      </c>
      <c r="Q48" t="s">
        <v>82</v>
      </c>
      <c r="R48" t="s">
        <v>81</v>
      </c>
      <c r="S48" t="s">
        <v>82</v>
      </c>
    </row>
    <row r="49" spans="1:19" x14ac:dyDescent="0.25">
      <c r="B49" t="s">
        <v>112</v>
      </c>
      <c r="C49" t="s">
        <v>112</v>
      </c>
      <c r="D49" t="s">
        <v>83</v>
      </c>
      <c r="E49" t="s">
        <v>83</v>
      </c>
      <c r="F49" t="s">
        <v>84</v>
      </c>
      <c r="G49" t="s">
        <v>84</v>
      </c>
      <c r="H49" t="s">
        <v>85</v>
      </c>
      <c r="I49" t="s">
        <v>85</v>
      </c>
      <c r="J49" t="s">
        <v>86</v>
      </c>
      <c r="K49" t="s">
        <v>86</v>
      </c>
      <c r="L49" t="s">
        <v>87</v>
      </c>
      <c r="M49" t="s">
        <v>87</v>
      </c>
      <c r="N49" t="s">
        <v>88</v>
      </c>
      <c r="O49" t="s">
        <v>88</v>
      </c>
      <c r="P49" t="s">
        <v>4</v>
      </c>
      <c r="Q49" t="s">
        <v>4</v>
      </c>
      <c r="R49" t="s">
        <v>6</v>
      </c>
      <c r="S49" t="s">
        <v>6</v>
      </c>
    </row>
    <row r="50" spans="1:19" x14ac:dyDescent="0.25">
      <c r="B50">
        <v>57557320</v>
      </c>
      <c r="C50">
        <v>123939558</v>
      </c>
      <c r="D50">
        <v>1350298</v>
      </c>
      <c r="E50">
        <v>4103880</v>
      </c>
      <c r="F50">
        <v>3144674</v>
      </c>
      <c r="G50">
        <v>3348298</v>
      </c>
      <c r="H50">
        <v>31.81</v>
      </c>
      <c r="I50">
        <v>66.87</v>
      </c>
      <c r="N50">
        <v>3.2854501000000001E-2</v>
      </c>
      <c r="O50">
        <v>6.7683699999999999E-2</v>
      </c>
      <c r="P50">
        <v>4.0299999999999997E-3</v>
      </c>
      <c r="Q50">
        <v>5.071E-3</v>
      </c>
      <c r="R50">
        <v>2.8230999999999999E-2</v>
      </c>
      <c r="S50">
        <v>6.1857000000000002E-2</v>
      </c>
    </row>
    <row r="51" spans="1:19" x14ac:dyDescent="0.25">
      <c r="B51">
        <v>57130740</v>
      </c>
      <c r="C51">
        <v>125434216</v>
      </c>
      <c r="D51">
        <v>1354122</v>
      </c>
      <c r="E51">
        <v>4126892</v>
      </c>
      <c r="F51">
        <v>2356688</v>
      </c>
      <c r="G51">
        <v>3540266</v>
      </c>
      <c r="H51">
        <v>31.55</v>
      </c>
      <c r="I51">
        <v>67.67</v>
      </c>
      <c r="N51">
        <v>3.1996235999999997E-2</v>
      </c>
      <c r="O51">
        <v>6.8417789000000007E-2</v>
      </c>
      <c r="P51">
        <v>1.9980000000000002E-3</v>
      </c>
      <c r="Q51">
        <v>3.9909999999999998E-3</v>
      </c>
      <c r="R51">
        <v>2.9956E-2</v>
      </c>
      <c r="S51">
        <v>6.3693E-2</v>
      </c>
    </row>
    <row r="52" spans="1:19" x14ac:dyDescent="0.25">
      <c r="B52">
        <v>57778204</v>
      </c>
      <c r="C52">
        <v>124025102</v>
      </c>
      <c r="D52">
        <v>1397126</v>
      </c>
      <c r="E52">
        <v>4201826</v>
      </c>
      <c r="F52">
        <v>2391114</v>
      </c>
      <c r="G52">
        <v>3338626</v>
      </c>
      <c r="H52">
        <v>31.95</v>
      </c>
      <c r="I52">
        <v>66.92</v>
      </c>
      <c r="N52">
        <v>3.2631445000000002E-2</v>
      </c>
      <c r="O52">
        <v>6.7816244999999997E-2</v>
      </c>
      <c r="P52">
        <v>2.019E-3</v>
      </c>
      <c r="Q52">
        <v>4.9820000000000003E-3</v>
      </c>
      <c r="R52">
        <v>3.0363000000000001E-2</v>
      </c>
      <c r="S52">
        <v>6.1962000000000003E-2</v>
      </c>
    </row>
    <row r="53" spans="1:19" x14ac:dyDescent="0.25">
      <c r="B53">
        <v>57615994</v>
      </c>
      <c r="C53">
        <v>124569350</v>
      </c>
      <c r="D53">
        <v>1373418</v>
      </c>
      <c r="E53">
        <v>4098122</v>
      </c>
      <c r="F53">
        <v>3200414</v>
      </c>
      <c r="G53">
        <v>2985178</v>
      </c>
      <c r="H53">
        <v>31.84</v>
      </c>
      <c r="I53">
        <v>67.14</v>
      </c>
      <c r="N53">
        <v>3.2552291999999997E-2</v>
      </c>
      <c r="O53">
        <v>6.7697054000000007E-2</v>
      </c>
      <c r="P53">
        <v>1.954E-3</v>
      </c>
      <c r="Q53">
        <v>5.8979999999999996E-3</v>
      </c>
      <c r="R53">
        <v>3.0283000000000001E-2</v>
      </c>
      <c r="S53">
        <v>6.1246000000000002E-2</v>
      </c>
    </row>
    <row r="54" spans="1:19" x14ac:dyDescent="0.25">
      <c r="B54">
        <v>57616822</v>
      </c>
      <c r="C54">
        <v>123994798</v>
      </c>
      <c r="D54">
        <v>1358104</v>
      </c>
      <c r="E54">
        <v>4092082</v>
      </c>
      <c r="F54">
        <v>3433748</v>
      </c>
      <c r="G54">
        <v>3437236</v>
      </c>
      <c r="H54">
        <v>31.79</v>
      </c>
      <c r="I54">
        <v>66.83</v>
      </c>
      <c r="N54">
        <v>3.2895701999999999E-2</v>
      </c>
      <c r="O54">
        <v>6.7631066000000004E-2</v>
      </c>
      <c r="P54">
        <v>4.8789999999999997E-3</v>
      </c>
      <c r="Q54">
        <v>7.0780000000000001E-3</v>
      </c>
      <c r="R54">
        <v>2.7348000000000001E-2</v>
      </c>
      <c r="S54">
        <v>5.9750999999999999E-2</v>
      </c>
    </row>
    <row r="55" spans="1:19" x14ac:dyDescent="0.25">
      <c r="B55">
        <v>57746262</v>
      </c>
      <c r="C55">
        <v>123532056</v>
      </c>
      <c r="D55">
        <v>1353452</v>
      </c>
      <c r="E55">
        <v>4195502</v>
      </c>
      <c r="F55">
        <v>2772084</v>
      </c>
      <c r="G55">
        <v>3381490</v>
      </c>
      <c r="H55">
        <v>31.88</v>
      </c>
      <c r="I55">
        <v>66.650000000000006</v>
      </c>
      <c r="N55">
        <v>3.2514916999999997E-2</v>
      </c>
      <c r="O55">
        <v>6.7390364999999994E-2</v>
      </c>
      <c r="P55">
        <v>3.1220000000000002E-3</v>
      </c>
      <c r="Q55">
        <v>7.0390000000000001E-3</v>
      </c>
      <c r="R55">
        <v>2.9180000000000001E-2</v>
      </c>
      <c r="S55">
        <v>5.9594000000000001E-2</v>
      </c>
    </row>
    <row r="56" spans="1:19" x14ac:dyDescent="0.25">
      <c r="B56">
        <v>57754478</v>
      </c>
      <c r="C56">
        <v>123516278</v>
      </c>
      <c r="D56">
        <v>1349030</v>
      </c>
      <c r="E56">
        <v>4110536</v>
      </c>
      <c r="F56">
        <v>2425644</v>
      </c>
      <c r="G56">
        <v>3428372</v>
      </c>
      <c r="H56">
        <v>31.89</v>
      </c>
      <c r="I56">
        <v>66.61</v>
      </c>
      <c r="N56">
        <v>3.2366455000000002E-2</v>
      </c>
      <c r="O56">
        <v>6.7395736999999997E-2</v>
      </c>
      <c r="P56">
        <v>2.019E-3</v>
      </c>
      <c r="Q56">
        <v>5.9519999999999998E-3</v>
      </c>
      <c r="R56">
        <v>3.0342000000000001E-2</v>
      </c>
      <c r="S56">
        <v>6.0699000000000003E-2</v>
      </c>
    </row>
    <row r="57" spans="1:19" x14ac:dyDescent="0.25">
      <c r="B57">
        <v>57288344</v>
      </c>
      <c r="C57">
        <v>123659650</v>
      </c>
      <c r="D57">
        <v>1346632</v>
      </c>
      <c r="E57">
        <v>4160124</v>
      </c>
      <c r="F57">
        <v>2375268</v>
      </c>
      <c r="G57">
        <v>2873064</v>
      </c>
      <c r="H57">
        <v>31.63</v>
      </c>
      <c r="I57">
        <v>66.66</v>
      </c>
      <c r="N57">
        <v>3.2024011999999998E-2</v>
      </c>
      <c r="O57">
        <v>6.7153953000000002E-2</v>
      </c>
      <c r="P57">
        <v>1.0009999999999999E-3</v>
      </c>
      <c r="Q57">
        <v>6.9290000000000003E-3</v>
      </c>
      <c r="R57">
        <v>3.1040000000000002E-2</v>
      </c>
      <c r="S57">
        <v>5.9735000000000003E-2</v>
      </c>
    </row>
    <row r="58" spans="1:19" x14ac:dyDescent="0.25">
      <c r="B58">
        <v>57899524</v>
      </c>
      <c r="C58">
        <v>125001120</v>
      </c>
      <c r="D58">
        <v>1344456</v>
      </c>
      <c r="E58">
        <v>4241516</v>
      </c>
      <c r="F58">
        <v>3190752</v>
      </c>
      <c r="G58">
        <v>2869034</v>
      </c>
      <c r="H58">
        <v>31.96</v>
      </c>
      <c r="I58">
        <v>67.38</v>
      </c>
      <c r="N58">
        <v>3.2695358000000001E-2</v>
      </c>
      <c r="O58">
        <v>6.7918719000000002E-2</v>
      </c>
      <c r="P58">
        <v>5.0559999999999997E-3</v>
      </c>
      <c r="Q58">
        <v>4.9420000000000002E-3</v>
      </c>
      <c r="R58">
        <v>2.7326E-2</v>
      </c>
      <c r="S58">
        <v>6.2489999999999997E-2</v>
      </c>
    </row>
    <row r="59" spans="1:19" x14ac:dyDescent="0.25">
      <c r="B59">
        <v>57809418</v>
      </c>
      <c r="C59">
        <v>124034052</v>
      </c>
      <c r="D59">
        <v>1358538</v>
      </c>
      <c r="E59">
        <v>4177330</v>
      </c>
      <c r="F59">
        <v>2682830</v>
      </c>
      <c r="G59">
        <v>2881564</v>
      </c>
      <c r="H59">
        <v>31.88</v>
      </c>
      <c r="I59">
        <v>66.88</v>
      </c>
      <c r="N59">
        <v>3.2483454000000002E-2</v>
      </c>
      <c r="O59">
        <v>6.7405324000000003E-2</v>
      </c>
      <c r="P59">
        <v>3.1210000000000001E-3</v>
      </c>
      <c r="Q59">
        <v>9.9579999999999998E-3</v>
      </c>
      <c r="R59">
        <v>2.9159999999999998E-2</v>
      </c>
      <c r="S59">
        <v>5.6933999999999998E-2</v>
      </c>
    </row>
    <row r="60" spans="1:19" x14ac:dyDescent="0.25">
      <c r="B60">
        <f>AVERAGE(B50:B59)</f>
        <v>57619710.600000001</v>
      </c>
      <c r="C60">
        <f t="shared" ref="C60:S60" si="3">AVERAGE(C50:C59)</f>
        <v>124170618</v>
      </c>
      <c r="D60">
        <f t="shared" si="3"/>
        <v>1358517.6</v>
      </c>
      <c r="E60">
        <f t="shared" si="3"/>
        <v>4150781</v>
      </c>
      <c r="F60">
        <f t="shared" si="3"/>
        <v>2797321.6</v>
      </c>
      <c r="G60">
        <f t="shared" si="3"/>
        <v>3208312.8</v>
      </c>
      <c r="H60">
        <f t="shared" si="3"/>
        <v>31.817999999999994</v>
      </c>
      <c r="I60">
        <f t="shared" si="3"/>
        <v>66.960999999999999</v>
      </c>
      <c r="J60" t="e">
        <f t="shared" si="3"/>
        <v>#DIV/0!</v>
      </c>
      <c r="K60" t="e">
        <f t="shared" si="3"/>
        <v>#DIV/0!</v>
      </c>
      <c r="L60" t="e">
        <f t="shared" si="3"/>
        <v>#DIV/0!</v>
      </c>
      <c r="M60" t="e">
        <f t="shared" si="3"/>
        <v>#DIV/0!</v>
      </c>
      <c r="N60">
        <f t="shared" si="3"/>
        <v>3.2501437200000004E-2</v>
      </c>
      <c r="O60">
        <f t="shared" si="3"/>
        <v>6.7650995200000008E-2</v>
      </c>
      <c r="P60">
        <f t="shared" si="3"/>
        <v>2.9198999999999996E-3</v>
      </c>
      <c r="Q60">
        <f t="shared" si="3"/>
        <v>6.1840000000000003E-3</v>
      </c>
      <c r="R60">
        <f t="shared" si="3"/>
        <v>2.9322900000000006E-2</v>
      </c>
      <c r="S60">
        <f t="shared" si="3"/>
        <v>6.0796100000000006E-2</v>
      </c>
    </row>
    <row r="61" spans="1:19" x14ac:dyDescent="0.25">
      <c r="C61">
        <f>100*C60/B60</f>
        <v>215.50024584816293</v>
      </c>
      <c r="E61">
        <f>100*E60/D60</f>
        <v>305.53752119221713</v>
      </c>
      <c r="G61">
        <f>100*G60/F60</f>
        <v>114.69231138815071</v>
      </c>
      <c r="I61">
        <f>100*I60/H60</f>
        <v>210.45005971462697</v>
      </c>
      <c r="K61" t="e">
        <f>100*K60/J60</f>
        <v>#DIV/0!</v>
      </c>
      <c r="M61" t="e">
        <f>100*M60/L60</f>
        <v>#DIV/0!</v>
      </c>
      <c r="O61">
        <f>100*O60/N60</f>
        <v>208.14770369600762</v>
      </c>
      <c r="Q61">
        <f>100*Q60/P60</f>
        <v>211.78807493407314</v>
      </c>
      <c r="S61">
        <f>100*S60/R60</f>
        <v>207.33317645935426</v>
      </c>
    </row>
    <row r="64" spans="1:19" x14ac:dyDescent="0.25">
      <c r="A64" t="s">
        <v>116</v>
      </c>
      <c r="B64" t="s">
        <v>117</v>
      </c>
      <c r="C64">
        <v>122082282</v>
      </c>
      <c r="F64">
        <v>1</v>
      </c>
      <c r="G64">
        <v>10</v>
      </c>
    </row>
    <row r="65" spans="1:7" x14ac:dyDescent="0.25">
      <c r="A65" t="s">
        <v>116</v>
      </c>
      <c r="B65" t="s">
        <v>117</v>
      </c>
      <c r="C65">
        <v>121925204</v>
      </c>
      <c r="E65" t="s">
        <v>121</v>
      </c>
      <c r="F65">
        <v>2</v>
      </c>
      <c r="G65">
        <v>2</v>
      </c>
    </row>
    <row r="66" spans="1:7" x14ac:dyDescent="0.25">
      <c r="A66" t="s">
        <v>116</v>
      </c>
      <c r="B66" t="s">
        <v>117</v>
      </c>
      <c r="C66">
        <v>120954874</v>
      </c>
    </row>
    <row r="67" spans="1:7" x14ac:dyDescent="0.25">
      <c r="A67" t="s">
        <v>116</v>
      </c>
      <c r="B67" t="s">
        <v>117</v>
      </c>
      <c r="C67">
        <v>120998742</v>
      </c>
    </row>
    <row r="68" spans="1:7" x14ac:dyDescent="0.25">
      <c r="A68" t="s">
        <v>116</v>
      </c>
      <c r="B68" t="s">
        <v>117</v>
      </c>
      <c r="C68">
        <v>121213248</v>
      </c>
    </row>
    <row r="69" spans="1:7" x14ac:dyDescent="0.25">
      <c r="A69" t="s">
        <v>116</v>
      </c>
      <c r="B69" t="s">
        <v>117</v>
      </c>
      <c r="C69">
        <v>121613152</v>
      </c>
    </row>
    <row r="70" spans="1:7" x14ac:dyDescent="0.25">
      <c r="A70" t="s">
        <v>116</v>
      </c>
      <c r="B70" t="s">
        <v>117</v>
      </c>
      <c r="C70">
        <v>122099894</v>
      </c>
    </row>
    <row r="71" spans="1:7" x14ac:dyDescent="0.25">
      <c r="A71" t="s">
        <v>116</v>
      </c>
      <c r="B71" t="s">
        <v>117</v>
      </c>
      <c r="C71">
        <v>121626512</v>
      </c>
    </row>
    <row r="72" spans="1:7" x14ac:dyDescent="0.25">
      <c r="A72" t="s">
        <v>116</v>
      </c>
      <c r="B72" t="s">
        <v>117</v>
      </c>
      <c r="C72">
        <v>121163930</v>
      </c>
    </row>
    <row r="73" spans="1:7" x14ac:dyDescent="0.25">
      <c r="C73">
        <f>AVERAGE(C64:C72)</f>
        <v>121519759.77777778</v>
      </c>
    </row>
    <row r="74" spans="1:7" x14ac:dyDescent="0.25">
      <c r="C74">
        <f>100*C73/B60</f>
        <v>210.89963575377237</v>
      </c>
    </row>
    <row r="90" spans="1:19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</row>
    <row r="91" spans="1:19" x14ac:dyDescent="0.25">
      <c r="B91" t="s">
        <v>112</v>
      </c>
      <c r="C91" t="s">
        <v>112</v>
      </c>
      <c r="D91" t="s">
        <v>83</v>
      </c>
      <c r="E91" t="s">
        <v>83</v>
      </c>
      <c r="F91" t="s">
        <v>84</v>
      </c>
      <c r="G91" t="s">
        <v>84</v>
      </c>
      <c r="H91" t="s">
        <v>85</v>
      </c>
      <c r="I91" t="s">
        <v>85</v>
      </c>
      <c r="J91" t="s">
        <v>86</v>
      </c>
      <c r="K91" t="s">
        <v>86</v>
      </c>
      <c r="L91" t="s">
        <v>87</v>
      </c>
      <c r="M91" t="s">
        <v>87</v>
      </c>
      <c r="N91" t="s">
        <v>88</v>
      </c>
      <c r="O91" t="s">
        <v>88</v>
      </c>
      <c r="P91" t="s">
        <v>4</v>
      </c>
      <c r="Q91" t="s">
        <v>4</v>
      </c>
      <c r="R91" t="s">
        <v>6</v>
      </c>
      <c r="S91" t="s">
        <v>6</v>
      </c>
    </row>
    <row r="92" spans="1:19" x14ac:dyDescent="0.25">
      <c r="B92">
        <v>54240624</v>
      </c>
      <c r="C92">
        <v>116451422</v>
      </c>
      <c r="D92">
        <v>1012820</v>
      </c>
      <c r="E92">
        <v>2713266</v>
      </c>
      <c r="F92">
        <v>2256904</v>
      </c>
      <c r="G92">
        <v>2722440</v>
      </c>
      <c r="H92">
        <v>29.79</v>
      </c>
      <c r="I92">
        <v>62.08</v>
      </c>
      <c r="N92">
        <v>2.9951782E-2</v>
      </c>
      <c r="O92">
        <v>6.2245600999999998E-2</v>
      </c>
      <c r="P92">
        <v>0</v>
      </c>
      <c r="Q92">
        <v>1.9859999999999999E-3</v>
      </c>
      <c r="R92">
        <v>2.8986000000000001E-2</v>
      </c>
      <c r="S92">
        <v>5.9580000000000001E-2</v>
      </c>
    </row>
    <row r="93" spans="1:19" x14ac:dyDescent="0.25">
      <c r="B93">
        <v>54692318</v>
      </c>
      <c r="C93">
        <v>118177824</v>
      </c>
      <c r="D93">
        <v>1016876</v>
      </c>
      <c r="E93">
        <v>2711848</v>
      </c>
      <c r="F93">
        <v>2253272</v>
      </c>
      <c r="G93">
        <v>2837864</v>
      </c>
      <c r="H93">
        <v>30.01</v>
      </c>
      <c r="I93">
        <v>63.03</v>
      </c>
      <c r="N93">
        <v>3.0206317E-2</v>
      </c>
      <c r="O93">
        <v>6.3200592999999999E-2</v>
      </c>
      <c r="P93">
        <v>2.9299999999999999E-3</v>
      </c>
      <c r="Q93">
        <v>3.9719999999999998E-3</v>
      </c>
      <c r="R93">
        <v>2.6391000000000001E-2</v>
      </c>
      <c r="S93">
        <v>5.8562999999999997E-2</v>
      </c>
    </row>
    <row r="94" spans="1:19" x14ac:dyDescent="0.25">
      <c r="B94">
        <v>54085302</v>
      </c>
      <c r="C94">
        <v>118453366</v>
      </c>
      <c r="D94">
        <v>1066162</v>
      </c>
      <c r="E94">
        <v>2776764</v>
      </c>
      <c r="F94">
        <v>2300966</v>
      </c>
      <c r="G94">
        <v>2768796</v>
      </c>
      <c r="H94">
        <v>29.73</v>
      </c>
      <c r="I94">
        <v>63.13</v>
      </c>
      <c r="N94">
        <v>2.9885674000000001E-2</v>
      </c>
      <c r="O94">
        <v>6.3281802999999998E-2</v>
      </c>
      <c r="P94">
        <v>1.9970000000000001E-3</v>
      </c>
      <c r="Q94">
        <v>5.9709999999999997E-3</v>
      </c>
      <c r="R94">
        <v>2.6973E-2</v>
      </c>
      <c r="S94">
        <v>5.6786999999999997E-2</v>
      </c>
    </row>
    <row r="95" spans="1:19" x14ac:dyDescent="0.25">
      <c r="B95">
        <v>54171332</v>
      </c>
      <c r="C95">
        <v>117931560</v>
      </c>
      <c r="D95">
        <v>1072568</v>
      </c>
      <c r="E95">
        <v>2711584</v>
      </c>
      <c r="F95">
        <v>2327704</v>
      </c>
      <c r="G95">
        <v>2703406</v>
      </c>
      <c r="H95">
        <v>29.77</v>
      </c>
      <c r="I95">
        <v>62.83</v>
      </c>
      <c r="N95">
        <v>2.9920993999999999E-2</v>
      </c>
      <c r="O95">
        <v>6.3025380000000006E-2</v>
      </c>
      <c r="P95">
        <v>2.9190000000000002E-3</v>
      </c>
      <c r="Q95">
        <v>6.8409999999999999E-3</v>
      </c>
      <c r="R95">
        <v>2.6276000000000001E-2</v>
      </c>
      <c r="S95">
        <v>5.4646E-2</v>
      </c>
    </row>
    <row r="96" spans="1:19" x14ac:dyDescent="0.25">
      <c r="B96">
        <v>54719314</v>
      </c>
      <c r="C96">
        <v>117914742</v>
      </c>
      <c r="D96">
        <v>1016934</v>
      </c>
      <c r="E96">
        <v>2726734</v>
      </c>
      <c r="F96">
        <v>2272240</v>
      </c>
      <c r="G96">
        <v>2785568</v>
      </c>
      <c r="H96">
        <v>29.99</v>
      </c>
      <c r="I96">
        <v>62.84</v>
      </c>
      <c r="N96">
        <v>3.0144491999999998E-2</v>
      </c>
      <c r="O96">
        <v>6.2994928000000006E-2</v>
      </c>
      <c r="P96">
        <v>9.9799999999999997E-4</v>
      </c>
      <c r="Q96">
        <v>6.9170000000000004E-3</v>
      </c>
      <c r="R96">
        <v>2.8993000000000001E-2</v>
      </c>
      <c r="S96">
        <v>5.5375000000000001E-2</v>
      </c>
    </row>
    <row r="97" spans="2:19" x14ac:dyDescent="0.25">
      <c r="B97">
        <v>54267782</v>
      </c>
      <c r="C97">
        <v>117712264</v>
      </c>
      <c r="D97">
        <v>1035518</v>
      </c>
      <c r="E97">
        <v>2744038</v>
      </c>
      <c r="F97">
        <v>2251210</v>
      </c>
      <c r="G97">
        <v>2687564</v>
      </c>
      <c r="H97">
        <v>29.76</v>
      </c>
      <c r="I97">
        <v>62.73</v>
      </c>
      <c r="N97">
        <v>2.9911350999999999E-2</v>
      </c>
      <c r="O97">
        <v>6.2915107999999997E-2</v>
      </c>
      <c r="P97">
        <v>0</v>
      </c>
      <c r="Q97">
        <v>6.914E-3</v>
      </c>
      <c r="R97">
        <v>2.9225000000000001E-2</v>
      </c>
      <c r="S97">
        <v>5.5376000000000002E-2</v>
      </c>
    </row>
    <row r="98" spans="2:19" x14ac:dyDescent="0.25">
      <c r="B98">
        <v>54056988</v>
      </c>
      <c r="C98">
        <v>118893842</v>
      </c>
      <c r="D98">
        <v>1014892</v>
      </c>
      <c r="E98">
        <v>2812908</v>
      </c>
      <c r="F98">
        <v>2247430</v>
      </c>
      <c r="G98">
        <v>2754922</v>
      </c>
      <c r="H98">
        <v>29.65</v>
      </c>
      <c r="I98">
        <v>63.35</v>
      </c>
      <c r="N98">
        <v>2.9802259000000001E-2</v>
      </c>
      <c r="O98">
        <v>6.3512462000000006E-2</v>
      </c>
      <c r="P98">
        <v>1.9949999999999998E-3</v>
      </c>
      <c r="Q98">
        <v>6.9950000000000003E-3</v>
      </c>
      <c r="R98">
        <v>2.6983E-2</v>
      </c>
      <c r="S98">
        <v>5.5987000000000002E-2</v>
      </c>
    </row>
    <row r="99" spans="2:19" x14ac:dyDescent="0.25">
      <c r="B99">
        <v>54256528</v>
      </c>
      <c r="C99">
        <v>117816418</v>
      </c>
      <c r="D99">
        <v>1045704</v>
      </c>
      <c r="E99">
        <v>2748174</v>
      </c>
      <c r="F99">
        <v>2353412</v>
      </c>
      <c r="G99">
        <v>2697926</v>
      </c>
      <c r="H99">
        <v>29.82</v>
      </c>
      <c r="I99">
        <v>62.77</v>
      </c>
      <c r="N99">
        <v>2.9971422000000001E-2</v>
      </c>
      <c r="O99">
        <v>6.2933697999999996E-2</v>
      </c>
      <c r="P99">
        <v>1.9880000000000002E-3</v>
      </c>
      <c r="Q99">
        <v>6.9220000000000002E-3</v>
      </c>
      <c r="R99">
        <v>2.7841999999999999E-2</v>
      </c>
      <c r="S99">
        <v>5.5472E-2</v>
      </c>
    </row>
    <row r="100" spans="2:19" x14ac:dyDescent="0.25">
      <c r="B100">
        <v>54216450</v>
      </c>
      <c r="C100">
        <v>119745500</v>
      </c>
      <c r="D100">
        <v>1029190</v>
      </c>
      <c r="E100">
        <v>2673670</v>
      </c>
      <c r="F100">
        <v>2266180</v>
      </c>
      <c r="G100">
        <v>2694452</v>
      </c>
      <c r="H100">
        <v>29.74</v>
      </c>
      <c r="I100">
        <v>63.69</v>
      </c>
      <c r="N100">
        <v>2.9890552000000001E-2</v>
      </c>
      <c r="O100">
        <v>6.3901336000000003E-2</v>
      </c>
      <c r="P100">
        <v>9.7499999999999996E-4</v>
      </c>
      <c r="Q100">
        <v>2.977E-3</v>
      </c>
      <c r="R100">
        <v>2.8275999999999999E-2</v>
      </c>
      <c r="S100">
        <v>5.9593E-2</v>
      </c>
    </row>
    <row r="101" spans="2:19" x14ac:dyDescent="0.25">
      <c r="B101">
        <v>54446132</v>
      </c>
      <c r="C101">
        <v>118204676</v>
      </c>
      <c r="D101">
        <v>1044056</v>
      </c>
      <c r="E101">
        <v>2693530</v>
      </c>
      <c r="F101">
        <v>2346246</v>
      </c>
      <c r="G101">
        <v>2751888</v>
      </c>
      <c r="H101">
        <v>29.9</v>
      </c>
      <c r="I101">
        <v>62.95</v>
      </c>
      <c r="N101">
        <v>3.0060567999999999E-2</v>
      </c>
      <c r="O101">
        <v>6.3119544999999999E-2</v>
      </c>
      <c r="P101">
        <v>3.8630000000000001E-3</v>
      </c>
      <c r="Q101">
        <v>4.9649999999999998E-3</v>
      </c>
      <c r="R101">
        <v>2.5114999999999998E-2</v>
      </c>
      <c r="S101">
        <v>5.7582000000000001E-2</v>
      </c>
    </row>
    <row r="102" spans="2:19" x14ac:dyDescent="0.25">
      <c r="B102">
        <f>AVERAGE(B92:B101)</f>
        <v>54315277</v>
      </c>
      <c r="C102">
        <f t="shared" ref="C102:S102" si="4">AVERAGE(C92:C101)</f>
        <v>118130161.40000001</v>
      </c>
      <c r="D102">
        <f t="shared" si="4"/>
        <v>1035472</v>
      </c>
      <c r="E102">
        <f t="shared" si="4"/>
        <v>2731251.6</v>
      </c>
      <c r="F102">
        <f t="shared" si="4"/>
        <v>2287556.4</v>
      </c>
      <c r="G102">
        <f t="shared" si="4"/>
        <v>2740482.6</v>
      </c>
      <c r="H102">
        <f t="shared" si="4"/>
        <v>29.815999999999995</v>
      </c>
      <c r="I102">
        <f t="shared" si="4"/>
        <v>62.940000000000012</v>
      </c>
      <c r="J102" t="e">
        <f t="shared" si="4"/>
        <v>#DIV/0!</v>
      </c>
      <c r="K102" t="e">
        <f t="shared" si="4"/>
        <v>#DIV/0!</v>
      </c>
      <c r="L102" t="e">
        <f t="shared" si="4"/>
        <v>#DIV/0!</v>
      </c>
      <c r="M102" t="e">
        <f t="shared" si="4"/>
        <v>#DIV/0!</v>
      </c>
      <c r="N102">
        <f t="shared" si="4"/>
        <v>2.9974541100000002E-2</v>
      </c>
      <c r="O102">
        <f t="shared" si="4"/>
        <v>6.3113045399999998E-2</v>
      </c>
      <c r="P102">
        <f t="shared" si="4"/>
        <v>1.7665000000000001E-3</v>
      </c>
      <c r="Q102">
        <f t="shared" si="4"/>
        <v>5.4459999999999995E-3</v>
      </c>
      <c r="R102">
        <f t="shared" si="4"/>
        <v>2.7505999999999996E-2</v>
      </c>
      <c r="S102">
        <f t="shared" si="4"/>
        <v>5.6896100000000005E-2</v>
      </c>
    </row>
    <row r="103" spans="2:19" x14ac:dyDescent="0.25">
      <c r="C103">
        <f>100*C102/B102</f>
        <v>217.48975228461046</v>
      </c>
      <c r="E103">
        <f>100*E102/D102</f>
        <v>263.76875473214147</v>
      </c>
      <c r="G103">
        <f>100*G102/F102</f>
        <v>119.79956428615269</v>
      </c>
      <c r="I103">
        <f>100*I102/H102</f>
        <v>211.09471424738402</v>
      </c>
      <c r="O103">
        <f>100*O102/N102</f>
        <v>210.55550171542075</v>
      </c>
      <c r="Q103">
        <f>100*Q102/P102</f>
        <v>308.29323521086894</v>
      </c>
      <c r="S103">
        <f>100*S102/R102</f>
        <v>206.84977823020435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D5A00-EEEA-4A98-9E9B-4762D403C1CC}">
  <dimension ref="A1:Y103"/>
  <sheetViews>
    <sheetView workbookViewId="0"/>
  </sheetViews>
  <sheetFormatPr defaultRowHeight="15" x14ac:dyDescent="0.25"/>
  <cols>
    <col min="2" max="2" width="11.7109375" bestFit="1" customWidth="1"/>
    <col min="3" max="3" width="12" bestFit="1" customWidth="1"/>
    <col min="6" max="6" width="10.140625" bestFit="1" customWidth="1"/>
    <col min="7" max="7" width="12" bestFit="1" customWidth="1"/>
    <col min="8" max="9" width="12" customWidth="1"/>
    <col min="10" max="10" width="9.7109375" bestFit="1" customWidth="1"/>
    <col min="11" max="11" width="12" bestFit="1" customWidth="1"/>
    <col min="16" max="16" width="15.5703125" bestFit="1" customWidth="1"/>
  </cols>
  <sheetData>
    <row r="1" spans="1:25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  <c r="T1" t="s">
        <v>81</v>
      </c>
      <c r="U1" t="s">
        <v>82</v>
      </c>
      <c r="V1" t="s">
        <v>81</v>
      </c>
      <c r="W1" t="s">
        <v>82</v>
      </c>
      <c r="X1" t="s">
        <v>81</v>
      </c>
      <c r="Y1" t="s">
        <v>82</v>
      </c>
    </row>
    <row r="2" spans="1:25" x14ac:dyDescent="0.25">
      <c r="B2" t="s">
        <v>89</v>
      </c>
      <c r="C2" t="s">
        <v>89</v>
      </c>
      <c r="D2" t="s">
        <v>90</v>
      </c>
      <c r="E2" t="s">
        <v>90</v>
      </c>
      <c r="F2" t="s">
        <v>80</v>
      </c>
      <c r="G2" t="s">
        <v>80</v>
      </c>
      <c r="H2" t="s">
        <v>112</v>
      </c>
      <c r="I2" t="s">
        <v>112</v>
      </c>
      <c r="J2" t="s">
        <v>83</v>
      </c>
      <c r="K2" t="s">
        <v>83</v>
      </c>
      <c r="L2" t="s">
        <v>84</v>
      </c>
      <c r="M2" t="s">
        <v>84</v>
      </c>
      <c r="N2" t="s">
        <v>85</v>
      </c>
      <c r="O2" t="s">
        <v>85</v>
      </c>
      <c r="P2" t="s">
        <v>91</v>
      </c>
      <c r="Q2" t="s">
        <v>91</v>
      </c>
      <c r="R2" t="s">
        <v>87</v>
      </c>
      <c r="S2" t="s">
        <v>87</v>
      </c>
      <c r="T2" t="s">
        <v>88</v>
      </c>
      <c r="U2" t="s">
        <v>88</v>
      </c>
      <c r="V2" t="s">
        <v>4</v>
      </c>
      <c r="W2" t="s">
        <v>4</v>
      </c>
      <c r="X2" t="s">
        <v>6</v>
      </c>
      <c r="Y2" t="s">
        <v>6</v>
      </c>
    </row>
    <row r="3" spans="1:25" x14ac:dyDescent="0.25">
      <c r="B3">
        <v>108020</v>
      </c>
      <c r="C3">
        <v>159486</v>
      </c>
      <c r="D3">
        <v>423712</v>
      </c>
      <c r="E3">
        <v>703818</v>
      </c>
      <c r="F3">
        <v>61868</v>
      </c>
      <c r="G3">
        <v>47452</v>
      </c>
      <c r="H3">
        <f>B3+D3+F3</f>
        <v>593600</v>
      </c>
      <c r="I3">
        <f>C3+E3+G3</f>
        <v>910756</v>
      </c>
      <c r="J3">
        <v>50594</v>
      </c>
      <c r="K3">
        <v>177242</v>
      </c>
      <c r="L3">
        <v>65014</v>
      </c>
      <c r="M3">
        <v>95142</v>
      </c>
      <c r="N3">
        <v>1.18</v>
      </c>
      <c r="O3">
        <v>1.54</v>
      </c>
      <c r="P3">
        <v>3</v>
      </c>
      <c r="Q3">
        <v>5</v>
      </c>
      <c r="R3">
        <v>129</v>
      </c>
      <c r="S3">
        <v>129</v>
      </c>
      <c r="T3">
        <v>1.3312599999999999E-3</v>
      </c>
      <c r="U3">
        <v>1.7130789999999999E-3</v>
      </c>
      <c r="V3">
        <v>0</v>
      </c>
      <c r="W3">
        <v>0</v>
      </c>
      <c r="X3">
        <v>1.3140000000000001E-3</v>
      </c>
      <c r="Y3">
        <v>1.691E-3</v>
      </c>
    </row>
    <row r="4" spans="1:25" x14ac:dyDescent="0.25">
      <c r="B4">
        <v>105622</v>
      </c>
      <c r="C4">
        <v>161940</v>
      </c>
      <c r="D4">
        <v>394754</v>
      </c>
      <c r="E4">
        <v>666206</v>
      </c>
      <c r="F4">
        <v>61952</v>
      </c>
      <c r="G4">
        <v>47488</v>
      </c>
      <c r="H4">
        <f t="shared" ref="H4:I12" si="0">B4+D4+F4</f>
        <v>562328</v>
      </c>
      <c r="I4">
        <f t="shared" si="0"/>
        <v>875634</v>
      </c>
      <c r="J4">
        <v>49388</v>
      </c>
      <c r="K4">
        <v>170102</v>
      </c>
      <c r="L4">
        <v>62652</v>
      </c>
      <c r="M4">
        <v>66970</v>
      </c>
      <c r="N4">
        <v>1.17</v>
      </c>
      <c r="O4">
        <v>1.57</v>
      </c>
      <c r="P4">
        <v>3</v>
      </c>
      <c r="Q4">
        <v>5</v>
      </c>
      <c r="R4">
        <v>130</v>
      </c>
      <c r="S4">
        <v>130</v>
      </c>
      <c r="T4">
        <v>1.318598E-3</v>
      </c>
      <c r="U4">
        <v>1.7283579999999999E-3</v>
      </c>
      <c r="V4">
        <v>1.3060000000000001E-3</v>
      </c>
      <c r="W4">
        <v>8.4400000000000002E-4</v>
      </c>
      <c r="X4">
        <v>0</v>
      </c>
      <c r="Y4">
        <v>8.4900000000000004E-4</v>
      </c>
    </row>
    <row r="5" spans="1:25" x14ac:dyDescent="0.25">
      <c r="B5">
        <v>103148</v>
      </c>
      <c r="C5">
        <v>162020</v>
      </c>
      <c r="D5">
        <v>416738</v>
      </c>
      <c r="E5">
        <v>668448</v>
      </c>
      <c r="F5">
        <v>61048</v>
      </c>
      <c r="G5">
        <v>45086</v>
      </c>
      <c r="H5">
        <f t="shared" si="0"/>
        <v>580934</v>
      </c>
      <c r="I5">
        <f t="shared" si="0"/>
        <v>875554</v>
      </c>
      <c r="J5">
        <v>48334</v>
      </c>
      <c r="K5">
        <v>169522</v>
      </c>
      <c r="L5">
        <v>66192</v>
      </c>
      <c r="M5">
        <v>102990</v>
      </c>
      <c r="N5">
        <v>1.17</v>
      </c>
      <c r="O5">
        <v>1.53</v>
      </c>
      <c r="P5">
        <v>3</v>
      </c>
      <c r="Q5">
        <v>4</v>
      </c>
      <c r="R5">
        <v>132</v>
      </c>
      <c r="S5">
        <v>130</v>
      </c>
      <c r="T5">
        <v>1.3178459999999999E-3</v>
      </c>
      <c r="U5">
        <v>1.684987E-3</v>
      </c>
      <c r="V5">
        <v>0</v>
      </c>
      <c r="W5">
        <v>0</v>
      </c>
      <c r="X5">
        <v>1.31E-3</v>
      </c>
      <c r="Y5">
        <v>1.6739999999999999E-3</v>
      </c>
    </row>
    <row r="6" spans="1:25" x14ac:dyDescent="0.25">
      <c r="B6">
        <v>96852</v>
      </c>
      <c r="C6">
        <v>161982</v>
      </c>
      <c r="D6">
        <v>416106</v>
      </c>
      <c r="E6">
        <v>668190</v>
      </c>
      <c r="F6">
        <v>59010</v>
      </c>
      <c r="G6">
        <v>45342</v>
      </c>
      <c r="H6">
        <f t="shared" si="0"/>
        <v>571968</v>
      </c>
      <c r="I6">
        <f t="shared" si="0"/>
        <v>875514</v>
      </c>
      <c r="J6">
        <v>48400</v>
      </c>
      <c r="K6">
        <v>168364</v>
      </c>
      <c r="L6">
        <v>60408</v>
      </c>
      <c r="M6">
        <v>66792</v>
      </c>
      <c r="N6">
        <v>1.1499999999999999</v>
      </c>
      <c r="O6">
        <v>1.52</v>
      </c>
      <c r="P6">
        <v>3</v>
      </c>
      <c r="Q6">
        <v>4</v>
      </c>
      <c r="R6">
        <v>131</v>
      </c>
      <c r="S6">
        <v>130</v>
      </c>
      <c r="T6">
        <v>1.293006E-3</v>
      </c>
      <c r="U6">
        <v>1.7032830000000001E-3</v>
      </c>
      <c r="V6">
        <v>0</v>
      </c>
      <c r="W6">
        <v>1.671E-3</v>
      </c>
      <c r="X6">
        <v>1.286E-3</v>
      </c>
      <c r="Y6">
        <v>0</v>
      </c>
    </row>
    <row r="7" spans="1:25" x14ac:dyDescent="0.25">
      <c r="B7">
        <v>116192</v>
      </c>
      <c r="C7">
        <v>159042</v>
      </c>
      <c r="D7">
        <v>377910</v>
      </c>
      <c r="E7">
        <v>694002</v>
      </c>
      <c r="F7">
        <v>56644</v>
      </c>
      <c r="G7">
        <v>44752</v>
      </c>
      <c r="H7">
        <f t="shared" si="0"/>
        <v>550746</v>
      </c>
      <c r="I7">
        <f t="shared" si="0"/>
        <v>897796</v>
      </c>
      <c r="J7">
        <v>47306</v>
      </c>
      <c r="K7">
        <v>167888</v>
      </c>
      <c r="L7">
        <v>66424</v>
      </c>
      <c r="M7">
        <v>97238</v>
      </c>
      <c r="N7">
        <v>1.19</v>
      </c>
      <c r="O7">
        <v>1.54</v>
      </c>
      <c r="P7">
        <v>3</v>
      </c>
      <c r="Q7">
        <v>4</v>
      </c>
      <c r="R7">
        <v>132</v>
      </c>
      <c r="S7">
        <v>131</v>
      </c>
      <c r="T7">
        <v>1.3399799999999999E-3</v>
      </c>
      <c r="U7">
        <v>1.698616E-3</v>
      </c>
      <c r="V7">
        <v>1.3359999999999999E-3</v>
      </c>
      <c r="W7">
        <v>1.6869999999999999E-3</v>
      </c>
      <c r="X7">
        <v>0</v>
      </c>
      <c r="Y7">
        <v>0</v>
      </c>
    </row>
    <row r="8" spans="1:25" x14ac:dyDescent="0.25">
      <c r="B8">
        <v>97360</v>
      </c>
      <c r="C8">
        <v>158842</v>
      </c>
      <c r="D8">
        <v>401710</v>
      </c>
      <c r="E8">
        <v>667844</v>
      </c>
      <c r="F8">
        <v>58156</v>
      </c>
      <c r="G8">
        <v>46000</v>
      </c>
      <c r="H8">
        <f t="shared" si="0"/>
        <v>557226</v>
      </c>
      <c r="I8">
        <f t="shared" si="0"/>
        <v>872686</v>
      </c>
      <c r="J8">
        <v>47520</v>
      </c>
      <c r="K8">
        <v>166694</v>
      </c>
      <c r="L8">
        <v>57686</v>
      </c>
      <c r="M8">
        <v>69224</v>
      </c>
      <c r="N8">
        <v>1.1399999999999999</v>
      </c>
      <c r="O8">
        <v>1.54</v>
      </c>
      <c r="P8">
        <v>3</v>
      </c>
      <c r="Q8">
        <v>4</v>
      </c>
      <c r="R8">
        <v>130</v>
      </c>
      <c r="S8">
        <v>131</v>
      </c>
      <c r="T8">
        <v>1.2911979999999999E-3</v>
      </c>
      <c r="U8">
        <v>1.7740740000000001E-3</v>
      </c>
      <c r="V8">
        <v>0</v>
      </c>
      <c r="W8">
        <v>1.678E-3</v>
      </c>
      <c r="X8">
        <v>1.2830000000000001E-3</v>
      </c>
      <c r="Y8">
        <v>0</v>
      </c>
    </row>
    <row r="9" spans="1:25" x14ac:dyDescent="0.25">
      <c r="B9">
        <v>104614</v>
      </c>
      <c r="C9">
        <v>221104</v>
      </c>
      <c r="D9">
        <v>385482</v>
      </c>
      <c r="E9">
        <v>666114</v>
      </c>
      <c r="F9">
        <v>57352</v>
      </c>
      <c r="G9">
        <v>46122</v>
      </c>
      <c r="H9">
        <f t="shared" si="0"/>
        <v>547448</v>
      </c>
      <c r="I9">
        <f t="shared" si="0"/>
        <v>933340</v>
      </c>
      <c r="J9">
        <v>47356</v>
      </c>
      <c r="K9">
        <v>167882</v>
      </c>
      <c r="L9">
        <v>63656</v>
      </c>
      <c r="M9">
        <v>75724</v>
      </c>
      <c r="N9">
        <v>1.18</v>
      </c>
      <c r="O9">
        <v>1.55</v>
      </c>
      <c r="P9">
        <v>3</v>
      </c>
      <c r="Q9">
        <v>4</v>
      </c>
      <c r="R9">
        <v>130</v>
      </c>
      <c r="S9">
        <v>131</v>
      </c>
      <c r="T9">
        <v>1.332675E-3</v>
      </c>
      <c r="U9">
        <v>1.7126439999999999E-3</v>
      </c>
      <c r="V9">
        <v>1.322E-3</v>
      </c>
      <c r="W9">
        <v>0</v>
      </c>
      <c r="X9">
        <v>0</v>
      </c>
      <c r="Y9">
        <v>1.701E-3</v>
      </c>
    </row>
    <row r="10" spans="1:25" x14ac:dyDescent="0.25">
      <c r="B10">
        <v>96954</v>
      </c>
      <c r="C10">
        <v>166968</v>
      </c>
      <c r="D10">
        <v>405030</v>
      </c>
      <c r="E10">
        <v>1291124</v>
      </c>
      <c r="F10">
        <v>58006</v>
      </c>
      <c r="G10">
        <v>49998</v>
      </c>
      <c r="H10">
        <f t="shared" si="0"/>
        <v>559990</v>
      </c>
      <c r="I10">
        <f t="shared" si="0"/>
        <v>1508090</v>
      </c>
      <c r="J10">
        <v>47138</v>
      </c>
      <c r="K10">
        <v>195940</v>
      </c>
      <c r="L10">
        <v>59952</v>
      </c>
      <c r="M10">
        <v>68314</v>
      </c>
      <c r="N10">
        <v>1.1399999999999999</v>
      </c>
      <c r="O10">
        <v>1.54</v>
      </c>
      <c r="P10">
        <v>3</v>
      </c>
      <c r="Q10">
        <v>4</v>
      </c>
      <c r="R10">
        <v>129</v>
      </c>
      <c r="S10">
        <v>131</v>
      </c>
      <c r="T10">
        <v>1.2872949999999999E-3</v>
      </c>
      <c r="U10">
        <v>1.7080419999999999E-3</v>
      </c>
      <c r="V10">
        <v>0</v>
      </c>
      <c r="W10">
        <v>0</v>
      </c>
      <c r="X10">
        <v>1.284E-3</v>
      </c>
      <c r="Y10">
        <v>1.658E-3</v>
      </c>
    </row>
    <row r="11" spans="1:25" x14ac:dyDescent="0.25">
      <c r="B11">
        <v>103392</v>
      </c>
      <c r="C11">
        <v>208476</v>
      </c>
      <c r="D11">
        <v>416010</v>
      </c>
      <c r="E11">
        <v>726478</v>
      </c>
      <c r="F11">
        <v>56798</v>
      </c>
      <c r="G11">
        <v>46690</v>
      </c>
      <c r="H11">
        <f t="shared" si="0"/>
        <v>576200</v>
      </c>
      <c r="I11">
        <f t="shared" si="0"/>
        <v>981644</v>
      </c>
      <c r="J11">
        <v>49754</v>
      </c>
      <c r="K11">
        <v>166832</v>
      </c>
      <c r="L11">
        <v>58378</v>
      </c>
      <c r="M11">
        <v>71216</v>
      </c>
      <c r="N11">
        <v>1.17</v>
      </c>
      <c r="O11">
        <v>1.56</v>
      </c>
      <c r="P11">
        <v>3</v>
      </c>
      <c r="Q11">
        <v>4</v>
      </c>
      <c r="R11">
        <v>130</v>
      </c>
      <c r="S11">
        <v>130</v>
      </c>
      <c r="T11">
        <v>1.31851E-3</v>
      </c>
      <c r="U11">
        <v>1.71773E-3</v>
      </c>
      <c r="V11">
        <v>0</v>
      </c>
      <c r="W11">
        <v>0</v>
      </c>
      <c r="X11">
        <v>1.3090000000000001E-3</v>
      </c>
      <c r="Y11">
        <v>1.707E-3</v>
      </c>
    </row>
    <row r="12" spans="1:25" x14ac:dyDescent="0.25">
      <c r="B12">
        <v>101908</v>
      </c>
      <c r="C12">
        <v>217204</v>
      </c>
      <c r="D12">
        <v>378094</v>
      </c>
      <c r="E12">
        <v>657100</v>
      </c>
      <c r="F12">
        <v>56770</v>
      </c>
      <c r="G12">
        <v>44586</v>
      </c>
      <c r="H12">
        <f t="shared" si="0"/>
        <v>536772</v>
      </c>
      <c r="I12">
        <f t="shared" si="0"/>
        <v>918890</v>
      </c>
      <c r="J12">
        <v>48804</v>
      </c>
      <c r="K12">
        <v>171248</v>
      </c>
      <c r="L12">
        <v>62586</v>
      </c>
      <c r="M12">
        <v>124322</v>
      </c>
      <c r="N12">
        <v>1.18</v>
      </c>
      <c r="O12">
        <v>1.57</v>
      </c>
      <c r="P12">
        <v>3</v>
      </c>
      <c r="Q12">
        <v>5</v>
      </c>
      <c r="R12">
        <v>131</v>
      </c>
      <c r="S12">
        <v>129</v>
      </c>
      <c r="T12">
        <v>1.32402E-3</v>
      </c>
      <c r="U12">
        <v>1.7338340000000001E-3</v>
      </c>
      <c r="V12">
        <v>0</v>
      </c>
      <c r="W12">
        <v>8.5400000000000005E-4</v>
      </c>
      <c r="X12">
        <v>1.312E-3</v>
      </c>
      <c r="Y12">
        <v>8.4800000000000001E-4</v>
      </c>
    </row>
    <row r="13" spans="1:25" x14ac:dyDescent="0.25">
      <c r="B13">
        <f>AVERAGE(B3:B12)</f>
        <v>103406.2</v>
      </c>
      <c r="C13">
        <f t="shared" ref="C13:Y13" si="1">AVERAGE(C3:C12)</f>
        <v>177706.4</v>
      </c>
      <c r="D13">
        <f t="shared" si="1"/>
        <v>401554.6</v>
      </c>
      <c r="E13">
        <f t="shared" si="1"/>
        <v>740932.4</v>
      </c>
      <c r="F13">
        <f t="shared" si="1"/>
        <v>58760.4</v>
      </c>
      <c r="G13">
        <f t="shared" si="1"/>
        <v>46351.6</v>
      </c>
      <c r="H13">
        <f>AVERAGE(H3:H12)</f>
        <v>563721.19999999995</v>
      </c>
      <c r="I13">
        <f>AVERAGE(I3:I12)</f>
        <v>964990.4</v>
      </c>
      <c r="J13">
        <f t="shared" si="1"/>
        <v>48459.4</v>
      </c>
      <c r="K13">
        <f t="shared" si="1"/>
        <v>172171.4</v>
      </c>
      <c r="L13">
        <f t="shared" si="1"/>
        <v>62294.8</v>
      </c>
      <c r="M13">
        <f t="shared" si="1"/>
        <v>83793.2</v>
      </c>
      <c r="N13">
        <f t="shared" si="1"/>
        <v>1.167</v>
      </c>
      <c r="O13">
        <f t="shared" si="1"/>
        <v>1.5460000000000003</v>
      </c>
      <c r="P13">
        <f t="shared" si="1"/>
        <v>3</v>
      </c>
      <c r="Q13">
        <f t="shared" si="1"/>
        <v>4.3</v>
      </c>
      <c r="R13">
        <f t="shared" si="1"/>
        <v>130.4</v>
      </c>
      <c r="S13">
        <f t="shared" si="1"/>
        <v>130.19999999999999</v>
      </c>
      <c r="T13">
        <f t="shared" si="1"/>
        <v>1.3154388E-3</v>
      </c>
      <c r="U13">
        <f t="shared" si="1"/>
        <v>1.7174647000000002E-3</v>
      </c>
      <c r="V13">
        <f t="shared" si="1"/>
        <v>3.9640000000000004E-4</v>
      </c>
      <c r="W13">
        <f t="shared" si="1"/>
        <v>6.734E-4</v>
      </c>
      <c r="X13">
        <f t="shared" si="1"/>
        <v>9.098E-4</v>
      </c>
      <c r="Y13">
        <f t="shared" si="1"/>
        <v>1.0127999999999999E-3</v>
      </c>
    </row>
    <row r="14" spans="1:25" x14ac:dyDescent="0.25">
      <c r="C14">
        <f>100*C13/B13</f>
        <v>171.85275157582427</v>
      </c>
      <c r="E14">
        <f>100*E13/D13</f>
        <v>184.51597864898073</v>
      </c>
      <c r="G14">
        <f>100*G13/F13</f>
        <v>78.882376566531192</v>
      </c>
      <c r="I14">
        <f>100*I13/H13</f>
        <v>171.18220851016426</v>
      </c>
      <c r="K14">
        <f>100*K13/J13</f>
        <v>355.28999533630213</v>
      </c>
      <c r="M14">
        <f>100*M13/L13</f>
        <v>134.51074568021727</v>
      </c>
      <c r="O14">
        <f>100*O13/N13</f>
        <v>132.47643530419882</v>
      </c>
      <c r="Q14">
        <f>100*Q13/P13</f>
        <v>143.33333333333334</v>
      </c>
      <c r="S14">
        <f>100*S13/R13</f>
        <v>99.846625766871142</v>
      </c>
      <c r="U14">
        <f>100*U13/T13</f>
        <v>130.56211357001177</v>
      </c>
      <c r="W14">
        <f>100*W13/V13</f>
        <v>169.87891019172551</v>
      </c>
      <c r="Y14">
        <f>100*Y13/X13</f>
        <v>111.32116948779951</v>
      </c>
    </row>
    <row r="16" spans="1:25" x14ac:dyDescent="0.25">
      <c r="A16" t="s">
        <v>107</v>
      </c>
      <c r="B16" t="s">
        <v>81</v>
      </c>
      <c r="C16" t="s">
        <v>82</v>
      </c>
      <c r="D16" t="s">
        <v>81</v>
      </c>
      <c r="E16" t="s">
        <v>82</v>
      </c>
      <c r="F16" t="s">
        <v>81</v>
      </c>
      <c r="G16" t="s">
        <v>82</v>
      </c>
      <c r="H16" t="s">
        <v>81</v>
      </c>
      <c r="I16" t="s">
        <v>82</v>
      </c>
      <c r="J16" t="s">
        <v>81</v>
      </c>
      <c r="K16" t="s">
        <v>82</v>
      </c>
      <c r="L16" t="s">
        <v>81</v>
      </c>
      <c r="M16" t="s">
        <v>82</v>
      </c>
      <c r="N16" t="s">
        <v>81</v>
      </c>
      <c r="O16" t="s">
        <v>82</v>
      </c>
      <c r="P16" t="s">
        <v>81</v>
      </c>
      <c r="Q16" t="s">
        <v>82</v>
      </c>
      <c r="R16" t="s">
        <v>81</v>
      </c>
      <c r="S16" t="s">
        <v>82</v>
      </c>
      <c r="T16" t="s">
        <v>81</v>
      </c>
      <c r="U16" t="s">
        <v>82</v>
      </c>
      <c r="V16" t="s">
        <v>81</v>
      </c>
      <c r="W16" t="s">
        <v>82</v>
      </c>
      <c r="X16" t="s">
        <v>81</v>
      </c>
      <c r="Y16" t="s">
        <v>82</v>
      </c>
    </row>
    <row r="17" spans="1:25" x14ac:dyDescent="0.25">
      <c r="B17" t="s">
        <v>89</v>
      </c>
      <c r="C17" t="s">
        <v>89</v>
      </c>
      <c r="D17" t="s">
        <v>90</v>
      </c>
      <c r="E17" t="s">
        <v>90</v>
      </c>
      <c r="F17" t="s">
        <v>80</v>
      </c>
      <c r="G17" t="s">
        <v>80</v>
      </c>
      <c r="H17" t="s">
        <v>112</v>
      </c>
      <c r="I17" t="s">
        <v>112</v>
      </c>
      <c r="J17" t="s">
        <v>83</v>
      </c>
      <c r="K17" t="s">
        <v>83</v>
      </c>
      <c r="L17" t="s">
        <v>84</v>
      </c>
      <c r="M17" t="s">
        <v>84</v>
      </c>
      <c r="N17" t="s">
        <v>85</v>
      </c>
      <c r="O17" t="s">
        <v>85</v>
      </c>
      <c r="P17" t="s">
        <v>91</v>
      </c>
      <c r="Q17" t="s">
        <v>91</v>
      </c>
      <c r="R17" t="s">
        <v>87</v>
      </c>
      <c r="S17" t="s">
        <v>87</v>
      </c>
      <c r="T17" t="s">
        <v>88</v>
      </c>
      <c r="U17" t="s">
        <v>88</v>
      </c>
      <c r="V17" t="s">
        <v>4</v>
      </c>
      <c r="W17" t="s">
        <v>4</v>
      </c>
      <c r="X17" t="s">
        <v>6</v>
      </c>
      <c r="Y17" t="s">
        <v>6</v>
      </c>
    </row>
    <row r="18" spans="1:25" x14ac:dyDescent="0.25">
      <c r="B18">
        <v>102414</v>
      </c>
      <c r="C18">
        <v>252000</v>
      </c>
      <c r="D18">
        <v>420940</v>
      </c>
      <c r="E18">
        <v>679614</v>
      </c>
      <c r="F18">
        <v>61012</v>
      </c>
      <c r="G18">
        <v>43434</v>
      </c>
      <c r="H18">
        <f t="shared" ref="H18:I20" si="2">B18+D18+F18</f>
        <v>584366</v>
      </c>
      <c r="I18">
        <f t="shared" si="2"/>
        <v>975048</v>
      </c>
      <c r="J18">
        <v>51372</v>
      </c>
      <c r="K18">
        <v>160734</v>
      </c>
      <c r="L18">
        <v>66190</v>
      </c>
      <c r="M18">
        <v>72814</v>
      </c>
      <c r="N18">
        <v>1.21</v>
      </c>
      <c r="O18">
        <v>1.59</v>
      </c>
      <c r="T18">
        <v>1.3594550000000001E-3</v>
      </c>
      <c r="U18">
        <v>1.7618099999999999E-3</v>
      </c>
      <c r="V18">
        <v>0</v>
      </c>
      <c r="W18">
        <v>1.753E-3</v>
      </c>
      <c r="X18">
        <v>1.3359999999999999E-3</v>
      </c>
      <c r="Y18">
        <v>0</v>
      </c>
    </row>
    <row r="19" spans="1:25" x14ac:dyDescent="0.25">
      <c r="B19">
        <v>99006</v>
      </c>
      <c r="C19">
        <v>165996</v>
      </c>
      <c r="D19">
        <v>435376</v>
      </c>
      <c r="E19">
        <v>659772</v>
      </c>
      <c r="F19">
        <v>56086</v>
      </c>
      <c r="G19">
        <v>44204</v>
      </c>
      <c r="H19">
        <f t="shared" si="2"/>
        <v>590468</v>
      </c>
      <c r="I19">
        <f t="shared" si="2"/>
        <v>869972</v>
      </c>
      <c r="J19">
        <v>49464</v>
      </c>
      <c r="K19">
        <v>158970</v>
      </c>
      <c r="L19">
        <v>58244</v>
      </c>
      <c r="M19">
        <v>69760</v>
      </c>
      <c r="N19">
        <v>1.21</v>
      </c>
      <c r="O19">
        <v>1.49</v>
      </c>
      <c r="T19">
        <v>1.35972E-3</v>
      </c>
      <c r="U19">
        <v>1.659446E-3</v>
      </c>
      <c r="V19">
        <v>0</v>
      </c>
      <c r="W19">
        <v>0</v>
      </c>
      <c r="X19">
        <v>1.348E-3</v>
      </c>
      <c r="Y19">
        <v>1.622E-3</v>
      </c>
    </row>
    <row r="20" spans="1:25" x14ac:dyDescent="0.25">
      <c r="B20">
        <v>102310</v>
      </c>
      <c r="C20">
        <v>226680</v>
      </c>
      <c r="D20">
        <v>427524</v>
      </c>
      <c r="E20">
        <v>660348</v>
      </c>
      <c r="F20">
        <v>60672</v>
      </c>
      <c r="G20">
        <v>44310</v>
      </c>
      <c r="H20">
        <f t="shared" si="2"/>
        <v>590506</v>
      </c>
      <c r="I20">
        <f t="shared" si="2"/>
        <v>931338</v>
      </c>
      <c r="J20">
        <v>49848</v>
      </c>
      <c r="K20">
        <v>158800</v>
      </c>
      <c r="L20">
        <v>57956</v>
      </c>
      <c r="M20">
        <v>69514</v>
      </c>
      <c r="N20">
        <v>1.2</v>
      </c>
      <c r="O20">
        <v>1.47</v>
      </c>
      <c r="T20">
        <v>1.352773E-3</v>
      </c>
      <c r="U20">
        <v>1.6410719999999999E-3</v>
      </c>
      <c r="V20">
        <v>0</v>
      </c>
      <c r="W20">
        <v>0</v>
      </c>
      <c r="X20">
        <v>1.33E-3</v>
      </c>
      <c r="Y20">
        <v>1.622E-3</v>
      </c>
    </row>
    <row r="21" spans="1:25" x14ac:dyDescent="0.25">
      <c r="B21">
        <v>103810</v>
      </c>
      <c r="C21">
        <v>168934</v>
      </c>
      <c r="D21">
        <v>389880</v>
      </c>
      <c r="E21">
        <v>730576</v>
      </c>
      <c r="F21">
        <v>57922</v>
      </c>
      <c r="G21">
        <v>46162</v>
      </c>
      <c r="H21">
        <f>B21+D21+F21</f>
        <v>551612</v>
      </c>
      <c r="I21">
        <f t="shared" ref="I21:I27" si="3">C21+E21+G21</f>
        <v>945672</v>
      </c>
      <c r="J21">
        <v>50590</v>
      </c>
      <c r="K21">
        <v>165004</v>
      </c>
      <c r="L21">
        <v>63834</v>
      </c>
      <c r="M21">
        <v>74036</v>
      </c>
      <c r="N21">
        <v>1.22</v>
      </c>
      <c r="O21">
        <v>1.53</v>
      </c>
      <c r="T21">
        <v>1.36443E-3</v>
      </c>
      <c r="U21">
        <v>1.746772E-3</v>
      </c>
      <c r="V21">
        <v>1.3519999999999999E-3</v>
      </c>
      <c r="W21">
        <v>1.6850000000000001E-3</v>
      </c>
      <c r="X21">
        <v>0</v>
      </c>
      <c r="Y21">
        <v>0</v>
      </c>
    </row>
    <row r="22" spans="1:25" x14ac:dyDescent="0.25">
      <c r="B22">
        <v>134062</v>
      </c>
      <c r="C22">
        <v>167740</v>
      </c>
      <c r="D22">
        <v>369010</v>
      </c>
      <c r="E22">
        <v>661660</v>
      </c>
      <c r="F22">
        <v>55860</v>
      </c>
      <c r="G22">
        <v>46604</v>
      </c>
      <c r="H22">
        <f t="shared" ref="H22:H27" si="4">B22+D22+F22</f>
        <v>558932</v>
      </c>
      <c r="I22">
        <f t="shared" si="3"/>
        <v>876004</v>
      </c>
      <c r="J22">
        <v>48098</v>
      </c>
      <c r="K22">
        <v>161510</v>
      </c>
      <c r="L22">
        <v>58408</v>
      </c>
      <c r="M22">
        <v>75362</v>
      </c>
      <c r="N22">
        <v>1.22</v>
      </c>
      <c r="O22">
        <v>1.54</v>
      </c>
      <c r="T22">
        <v>1.3666990000000001E-3</v>
      </c>
      <c r="U22">
        <v>1.704716E-3</v>
      </c>
      <c r="V22">
        <v>0</v>
      </c>
      <c r="W22">
        <v>1.6949999999999999E-3</v>
      </c>
      <c r="X22">
        <v>1.3680000000000001E-3</v>
      </c>
      <c r="Y22">
        <v>0</v>
      </c>
    </row>
    <row r="23" spans="1:25" x14ac:dyDescent="0.25">
      <c r="B23">
        <v>101174</v>
      </c>
      <c r="C23">
        <v>168750</v>
      </c>
      <c r="D23">
        <v>394814</v>
      </c>
      <c r="E23">
        <v>709806</v>
      </c>
      <c r="F23">
        <v>56850</v>
      </c>
      <c r="G23">
        <v>45730</v>
      </c>
      <c r="H23">
        <f t="shared" si="4"/>
        <v>552838</v>
      </c>
      <c r="I23">
        <f t="shared" si="3"/>
        <v>924286</v>
      </c>
      <c r="J23">
        <v>50158</v>
      </c>
      <c r="K23">
        <v>159858</v>
      </c>
      <c r="L23">
        <v>61950</v>
      </c>
      <c r="M23">
        <v>69492</v>
      </c>
      <c r="N23">
        <v>1.2</v>
      </c>
      <c r="O23">
        <v>1.54</v>
      </c>
      <c r="T23">
        <v>1.3419529999999999E-3</v>
      </c>
      <c r="U23">
        <v>1.7004500000000001E-3</v>
      </c>
      <c r="V23">
        <v>1.3290000000000001E-3</v>
      </c>
      <c r="W23">
        <v>0</v>
      </c>
      <c r="X23">
        <v>0</v>
      </c>
      <c r="Y23">
        <v>1.6900000000000001E-3</v>
      </c>
    </row>
    <row r="24" spans="1:25" x14ac:dyDescent="0.25">
      <c r="B24">
        <v>97488</v>
      </c>
      <c r="C24">
        <v>165172</v>
      </c>
      <c r="D24">
        <v>373650</v>
      </c>
      <c r="E24">
        <v>730910</v>
      </c>
      <c r="F24">
        <v>56092</v>
      </c>
      <c r="G24">
        <v>48374</v>
      </c>
      <c r="H24">
        <f t="shared" si="4"/>
        <v>527230</v>
      </c>
      <c r="I24">
        <f t="shared" si="3"/>
        <v>944456</v>
      </c>
      <c r="J24">
        <v>48074</v>
      </c>
      <c r="K24">
        <v>169016</v>
      </c>
      <c r="L24">
        <v>59164</v>
      </c>
      <c r="M24">
        <v>77424</v>
      </c>
      <c r="N24">
        <v>1.2</v>
      </c>
      <c r="O24">
        <v>1.53</v>
      </c>
      <c r="T24">
        <v>1.3533429999999999E-3</v>
      </c>
      <c r="U24">
        <v>1.6977800000000001E-3</v>
      </c>
      <c r="V24">
        <v>0</v>
      </c>
      <c r="W24">
        <v>1.689E-3</v>
      </c>
      <c r="X24">
        <v>1.348E-3</v>
      </c>
      <c r="Y24">
        <v>0</v>
      </c>
    </row>
    <row r="25" spans="1:25" x14ac:dyDescent="0.25">
      <c r="B25">
        <v>98050</v>
      </c>
      <c r="C25">
        <v>224840</v>
      </c>
      <c r="D25">
        <v>379362</v>
      </c>
      <c r="E25">
        <v>689954</v>
      </c>
      <c r="F25">
        <v>55870</v>
      </c>
      <c r="G25">
        <v>45630</v>
      </c>
      <c r="H25">
        <f t="shared" si="4"/>
        <v>533282</v>
      </c>
      <c r="I25">
        <f t="shared" si="3"/>
        <v>960424</v>
      </c>
      <c r="J25">
        <v>48380</v>
      </c>
      <c r="K25">
        <v>159914</v>
      </c>
      <c r="L25">
        <v>62354</v>
      </c>
      <c r="M25">
        <v>69406</v>
      </c>
      <c r="N25">
        <v>1.21</v>
      </c>
      <c r="O25">
        <v>1.49</v>
      </c>
      <c r="T25">
        <v>1.3596140000000001E-3</v>
      </c>
      <c r="U25">
        <v>1.652953E-3</v>
      </c>
      <c r="V25">
        <v>1.3450000000000001E-3</v>
      </c>
      <c r="W25">
        <v>0</v>
      </c>
      <c r="X25">
        <v>0</v>
      </c>
      <c r="Y25">
        <v>1.6360000000000001E-3</v>
      </c>
    </row>
    <row r="26" spans="1:25" x14ac:dyDescent="0.25">
      <c r="B26">
        <v>97094</v>
      </c>
      <c r="C26">
        <v>235616</v>
      </c>
      <c r="D26">
        <v>379530</v>
      </c>
      <c r="E26">
        <v>757812</v>
      </c>
      <c r="F26">
        <v>57216</v>
      </c>
      <c r="G26">
        <v>47816</v>
      </c>
      <c r="H26">
        <f t="shared" si="4"/>
        <v>533840</v>
      </c>
      <c r="I26">
        <f t="shared" si="3"/>
        <v>1041244</v>
      </c>
      <c r="J26">
        <v>48058</v>
      </c>
      <c r="K26">
        <v>170570</v>
      </c>
      <c r="L26">
        <v>59900</v>
      </c>
      <c r="M26">
        <v>78618</v>
      </c>
      <c r="N26">
        <v>1.21</v>
      </c>
      <c r="O26">
        <v>1.55</v>
      </c>
      <c r="T26">
        <v>1.358943E-3</v>
      </c>
      <c r="U26">
        <v>1.7188360000000001E-3</v>
      </c>
      <c r="V26">
        <v>0</v>
      </c>
      <c r="W26">
        <v>0</v>
      </c>
      <c r="X26">
        <v>1.353E-3</v>
      </c>
      <c r="Y26">
        <v>1.699E-3</v>
      </c>
    </row>
    <row r="27" spans="1:25" x14ac:dyDescent="0.25">
      <c r="B27">
        <v>96412</v>
      </c>
      <c r="C27">
        <v>178014</v>
      </c>
      <c r="D27">
        <v>430340</v>
      </c>
      <c r="E27">
        <v>838992</v>
      </c>
      <c r="F27">
        <v>56230</v>
      </c>
      <c r="G27">
        <v>45822</v>
      </c>
      <c r="H27">
        <f t="shared" si="4"/>
        <v>582982</v>
      </c>
      <c r="I27">
        <f t="shared" si="3"/>
        <v>1062828</v>
      </c>
      <c r="J27">
        <v>47168</v>
      </c>
      <c r="K27">
        <v>171156</v>
      </c>
      <c r="L27">
        <v>59858</v>
      </c>
      <c r="M27">
        <v>74578</v>
      </c>
      <c r="N27">
        <v>1.18</v>
      </c>
      <c r="O27">
        <v>1.6</v>
      </c>
      <c r="T27">
        <v>1.3206559999999999E-3</v>
      </c>
      <c r="U27">
        <v>1.7676530000000001E-3</v>
      </c>
      <c r="V27">
        <v>6.4999999999999997E-4</v>
      </c>
      <c r="W27">
        <v>0</v>
      </c>
      <c r="X27">
        <v>6.4800000000000003E-4</v>
      </c>
      <c r="Y27">
        <v>1.7149999999999999E-3</v>
      </c>
    </row>
    <row r="28" spans="1:25" x14ac:dyDescent="0.25">
      <c r="B28">
        <f>AVERAGE(B18:B27)</f>
        <v>103182</v>
      </c>
      <c r="C28">
        <f>AVERAGE(C18:C27)</f>
        <v>195374.2</v>
      </c>
      <c r="D28">
        <f t="shared" ref="D28:X28" si="5">AVERAGE(D18:D27)</f>
        <v>400042.6</v>
      </c>
      <c r="E28">
        <f>AVERAGE(E18:E27)</f>
        <v>711944.4</v>
      </c>
      <c r="F28">
        <f t="shared" si="5"/>
        <v>57381</v>
      </c>
      <c r="G28">
        <f>AVERAGE(G18:G27)</f>
        <v>45808.6</v>
      </c>
      <c r="H28">
        <f t="shared" si="5"/>
        <v>560605.6</v>
      </c>
      <c r="I28">
        <f>AVERAGE(I18:I27)</f>
        <v>953127.2</v>
      </c>
      <c r="J28">
        <f t="shared" si="5"/>
        <v>49121</v>
      </c>
      <c r="K28">
        <f>AVERAGE(K18:K27)</f>
        <v>163553.20000000001</v>
      </c>
      <c r="L28">
        <f t="shared" si="5"/>
        <v>60785.8</v>
      </c>
      <c r="M28">
        <f>AVERAGE(M18:M27)</f>
        <v>73100.399999999994</v>
      </c>
      <c r="N28">
        <f t="shared" si="5"/>
        <v>1.206</v>
      </c>
      <c r="O28">
        <f>AVERAGE(O18:O27)</f>
        <v>1.5329999999999999</v>
      </c>
      <c r="P28" t="e">
        <f t="shared" si="5"/>
        <v>#DIV/0!</v>
      </c>
      <c r="Q28" t="e">
        <f t="shared" si="5"/>
        <v>#DIV/0!</v>
      </c>
      <c r="R28" t="e">
        <f t="shared" si="5"/>
        <v>#DIV/0!</v>
      </c>
      <c r="S28" t="e">
        <f t="shared" si="5"/>
        <v>#DIV/0!</v>
      </c>
      <c r="T28">
        <f t="shared" si="5"/>
        <v>1.3537585999999998E-3</v>
      </c>
      <c r="U28">
        <f>AVERAGE(U18:U27)</f>
        <v>1.7051487999999999E-3</v>
      </c>
      <c r="V28">
        <f t="shared" si="5"/>
        <v>4.6759999999999998E-4</v>
      </c>
      <c r="W28">
        <f>AVERAGE(W18:W27)</f>
        <v>6.8219999999999999E-4</v>
      </c>
      <c r="X28">
        <f t="shared" si="5"/>
        <v>8.7309999999999992E-4</v>
      </c>
      <c r="Y28">
        <f>AVERAGE(Y18:Y27)</f>
        <v>9.9839999999999998E-4</v>
      </c>
    </row>
    <row r="29" spans="1:25" x14ac:dyDescent="0.25">
      <c r="C29">
        <f>100*C28/B28</f>
        <v>189.34911127909908</v>
      </c>
      <c r="E29">
        <f>100*E28/D28</f>
        <v>177.96714649889788</v>
      </c>
      <c r="G29">
        <f>100*G28/F28</f>
        <v>79.832348686847567</v>
      </c>
      <c r="I29">
        <f>100*I28/H28</f>
        <v>170.01742401431596</v>
      </c>
      <c r="K29">
        <f>100*K28/J28</f>
        <v>332.95983387960348</v>
      </c>
      <c r="M29">
        <f>100*M28/L28</f>
        <v>120.25900786038842</v>
      </c>
      <c r="O29">
        <f>100*O28/N28</f>
        <v>127.11442786069651</v>
      </c>
      <c r="Q29" t="e">
        <f>100*Q28/P28</f>
        <v>#DIV/0!</v>
      </c>
      <c r="S29" t="e">
        <f>100*S28/R28</f>
        <v>#DIV/0!</v>
      </c>
      <c r="U29">
        <f>100*U28/T28</f>
        <v>125.95663658203169</v>
      </c>
      <c r="W29">
        <f>100*W28/V28</f>
        <v>145.89392643284859</v>
      </c>
      <c r="Y29">
        <f>100*Y28/X28</f>
        <v>114.35116252433858</v>
      </c>
    </row>
    <row r="31" spans="1:25" x14ac:dyDescent="0.25">
      <c r="A31" t="s">
        <v>114</v>
      </c>
    </row>
    <row r="32" spans="1:25" x14ac:dyDescent="0.25">
      <c r="A32" t="s">
        <v>111</v>
      </c>
      <c r="B32" t="s">
        <v>81</v>
      </c>
      <c r="C32" t="s">
        <v>82</v>
      </c>
      <c r="D32" t="s">
        <v>81</v>
      </c>
      <c r="E32" t="s">
        <v>82</v>
      </c>
      <c r="F32" t="s">
        <v>81</v>
      </c>
      <c r="G32" t="s">
        <v>82</v>
      </c>
      <c r="H32" t="s">
        <v>81</v>
      </c>
      <c r="I32" t="s">
        <v>82</v>
      </c>
      <c r="J32" t="s">
        <v>81</v>
      </c>
      <c r="K32" t="s">
        <v>82</v>
      </c>
      <c r="L32" t="s">
        <v>81</v>
      </c>
      <c r="M32" t="s">
        <v>82</v>
      </c>
      <c r="N32" t="s">
        <v>81</v>
      </c>
      <c r="O32" t="s">
        <v>82</v>
      </c>
      <c r="P32" t="s">
        <v>81</v>
      </c>
      <c r="Q32" t="s">
        <v>82</v>
      </c>
      <c r="R32" t="s">
        <v>81</v>
      </c>
      <c r="S32" t="s">
        <v>82</v>
      </c>
      <c r="T32" t="s">
        <v>81</v>
      </c>
      <c r="U32" t="s">
        <v>82</v>
      </c>
      <c r="V32" t="s">
        <v>81</v>
      </c>
      <c r="W32" t="s">
        <v>82</v>
      </c>
      <c r="X32" t="s">
        <v>81</v>
      </c>
      <c r="Y32" t="s">
        <v>82</v>
      </c>
    </row>
    <row r="33" spans="1:25" x14ac:dyDescent="0.25">
      <c r="B33" t="s">
        <v>89</v>
      </c>
      <c r="C33" t="s">
        <v>89</v>
      </c>
      <c r="D33" t="s">
        <v>90</v>
      </c>
      <c r="E33" t="s">
        <v>90</v>
      </c>
      <c r="F33" t="s">
        <v>80</v>
      </c>
      <c r="G33" t="s">
        <v>80</v>
      </c>
      <c r="H33" t="s">
        <v>112</v>
      </c>
      <c r="I33" t="s">
        <v>112</v>
      </c>
      <c r="J33" t="s">
        <v>83</v>
      </c>
      <c r="K33" t="s">
        <v>83</v>
      </c>
      <c r="L33" t="s">
        <v>84</v>
      </c>
      <c r="M33" t="s">
        <v>84</v>
      </c>
      <c r="N33" t="s">
        <v>85</v>
      </c>
      <c r="O33" t="s">
        <v>85</v>
      </c>
      <c r="P33" t="s">
        <v>91</v>
      </c>
      <c r="Q33" t="s">
        <v>91</v>
      </c>
      <c r="R33" t="s">
        <v>87</v>
      </c>
      <c r="S33" t="s">
        <v>87</v>
      </c>
      <c r="T33" t="s">
        <v>88</v>
      </c>
      <c r="U33" t="s">
        <v>88</v>
      </c>
      <c r="V33" t="s">
        <v>4</v>
      </c>
      <c r="W33" t="s">
        <v>4</v>
      </c>
      <c r="X33" t="s">
        <v>6</v>
      </c>
      <c r="Y33" t="s">
        <v>6</v>
      </c>
    </row>
    <row r="34" spans="1:25" x14ac:dyDescent="0.25">
      <c r="B34">
        <v>111562</v>
      </c>
      <c r="C34">
        <v>176608</v>
      </c>
      <c r="D34">
        <v>386704</v>
      </c>
      <c r="E34">
        <v>643596</v>
      </c>
      <c r="F34">
        <v>56950</v>
      </c>
      <c r="G34">
        <v>45784</v>
      </c>
      <c r="H34">
        <f>B34+D34+F34</f>
        <v>555216</v>
      </c>
      <c r="I34">
        <f>C34+E34+G34</f>
        <v>865988</v>
      </c>
      <c r="J34">
        <v>98648</v>
      </c>
      <c r="K34">
        <v>267584</v>
      </c>
      <c r="L34">
        <v>64136</v>
      </c>
      <c r="M34">
        <v>76410</v>
      </c>
      <c r="N34">
        <v>1.23</v>
      </c>
      <c r="O34">
        <v>1.64</v>
      </c>
      <c r="T34">
        <v>1.4156699999999999E-3</v>
      </c>
      <c r="U34">
        <v>1.8060730000000001E-3</v>
      </c>
      <c r="V34">
        <v>1.41E-3</v>
      </c>
      <c r="W34">
        <v>0</v>
      </c>
      <c r="X34">
        <v>0</v>
      </c>
      <c r="Y34">
        <v>1.7979999999999999E-3</v>
      </c>
    </row>
    <row r="35" spans="1:25" x14ac:dyDescent="0.25">
      <c r="B35">
        <v>109328</v>
      </c>
      <c r="C35">
        <v>176678</v>
      </c>
      <c r="D35">
        <v>366710</v>
      </c>
      <c r="E35">
        <v>649594</v>
      </c>
      <c r="F35">
        <v>53122</v>
      </c>
      <c r="G35">
        <v>44624</v>
      </c>
      <c r="H35">
        <f t="shared" ref="H35:H43" si="6">B35+D35+F35</f>
        <v>529160</v>
      </c>
      <c r="I35">
        <f t="shared" ref="I35:I43" si="7">C35+E35+G35</f>
        <v>870896</v>
      </c>
      <c r="J35">
        <v>93580</v>
      </c>
      <c r="K35">
        <v>265750</v>
      </c>
      <c r="L35">
        <v>57522</v>
      </c>
      <c r="M35">
        <v>76830</v>
      </c>
      <c r="N35">
        <v>1.2</v>
      </c>
      <c r="O35">
        <v>1.65</v>
      </c>
      <c r="T35">
        <v>1.3796780000000001E-3</v>
      </c>
      <c r="U35">
        <v>1.8494200000000001E-3</v>
      </c>
      <c r="V35">
        <v>0</v>
      </c>
      <c r="W35">
        <v>1.8339999999999999E-3</v>
      </c>
      <c r="X35">
        <v>1.3730000000000001E-3</v>
      </c>
      <c r="Y35">
        <v>0</v>
      </c>
    </row>
    <row r="36" spans="1:25" x14ac:dyDescent="0.25">
      <c r="B36">
        <v>93974</v>
      </c>
      <c r="C36">
        <v>243620</v>
      </c>
      <c r="D36">
        <v>371136</v>
      </c>
      <c r="E36">
        <v>646322</v>
      </c>
      <c r="F36">
        <v>53932</v>
      </c>
      <c r="G36">
        <v>44952</v>
      </c>
      <c r="H36">
        <f t="shared" si="6"/>
        <v>519042</v>
      </c>
      <c r="I36">
        <f t="shared" si="7"/>
        <v>934894</v>
      </c>
      <c r="J36">
        <v>93108</v>
      </c>
      <c r="K36">
        <v>264816</v>
      </c>
      <c r="L36">
        <v>125286</v>
      </c>
      <c r="M36">
        <v>74264</v>
      </c>
      <c r="N36">
        <v>1.1599999999999999</v>
      </c>
      <c r="O36">
        <v>1.56</v>
      </c>
      <c r="T36">
        <v>1.321511E-3</v>
      </c>
      <c r="U36">
        <v>1.754713E-3</v>
      </c>
      <c r="V36">
        <v>0</v>
      </c>
      <c r="W36">
        <v>0</v>
      </c>
      <c r="X36">
        <v>1.279E-3</v>
      </c>
      <c r="Y36">
        <v>1.7110000000000001E-3</v>
      </c>
    </row>
    <row r="37" spans="1:25" x14ac:dyDescent="0.25">
      <c r="B37">
        <v>96854</v>
      </c>
      <c r="C37">
        <v>154862</v>
      </c>
      <c r="D37">
        <v>364550</v>
      </c>
      <c r="E37">
        <v>643332</v>
      </c>
      <c r="F37">
        <v>53868</v>
      </c>
      <c r="G37">
        <v>44720</v>
      </c>
      <c r="H37">
        <f t="shared" si="6"/>
        <v>515272</v>
      </c>
      <c r="I37">
        <f t="shared" si="7"/>
        <v>842914</v>
      </c>
      <c r="J37">
        <v>94046</v>
      </c>
      <c r="K37">
        <v>265424</v>
      </c>
      <c r="L37">
        <v>59938</v>
      </c>
      <c r="M37">
        <v>69872</v>
      </c>
      <c r="N37">
        <v>1.17</v>
      </c>
      <c r="O37">
        <v>1.54</v>
      </c>
      <c r="T37">
        <v>1.3523420000000001E-3</v>
      </c>
      <c r="U37">
        <v>1.6977730000000001E-3</v>
      </c>
      <c r="V37">
        <v>1.3450000000000001E-3</v>
      </c>
      <c r="W37">
        <v>0</v>
      </c>
      <c r="X37">
        <v>0</v>
      </c>
      <c r="Y37">
        <v>1.686E-3</v>
      </c>
    </row>
    <row r="38" spans="1:25" x14ac:dyDescent="0.25">
      <c r="B38">
        <v>97586</v>
      </c>
      <c r="C38">
        <v>226070</v>
      </c>
      <c r="D38">
        <v>383264</v>
      </c>
      <c r="E38">
        <v>653458</v>
      </c>
      <c r="F38">
        <v>56360</v>
      </c>
      <c r="G38">
        <v>43154</v>
      </c>
      <c r="H38">
        <f t="shared" si="6"/>
        <v>537210</v>
      </c>
      <c r="I38">
        <f t="shared" si="7"/>
        <v>922682</v>
      </c>
      <c r="J38">
        <v>167466</v>
      </c>
      <c r="K38">
        <v>275370</v>
      </c>
      <c r="L38">
        <v>62196</v>
      </c>
      <c r="M38">
        <v>76048</v>
      </c>
      <c r="N38">
        <v>1.23</v>
      </c>
      <c r="O38">
        <v>1.57</v>
      </c>
      <c r="T38">
        <v>1.9882820000000001E-3</v>
      </c>
      <c r="U38">
        <v>2.3360519999999999E-3</v>
      </c>
      <c r="V38">
        <v>1.3439999999999999E-3</v>
      </c>
      <c r="W38">
        <v>0</v>
      </c>
      <c r="X38">
        <v>0</v>
      </c>
      <c r="Y38">
        <v>1.6999999999999999E-3</v>
      </c>
    </row>
    <row r="39" spans="1:25" x14ac:dyDescent="0.25">
      <c r="B39">
        <v>110338</v>
      </c>
      <c r="C39">
        <v>167638</v>
      </c>
      <c r="D39">
        <v>374110</v>
      </c>
      <c r="E39">
        <v>652534</v>
      </c>
      <c r="F39">
        <v>58454</v>
      </c>
      <c r="G39">
        <v>44006</v>
      </c>
      <c r="H39">
        <f t="shared" si="6"/>
        <v>542902</v>
      </c>
      <c r="I39">
        <f t="shared" si="7"/>
        <v>864178</v>
      </c>
      <c r="J39">
        <v>97718</v>
      </c>
      <c r="K39">
        <v>267178</v>
      </c>
      <c r="L39">
        <v>63768</v>
      </c>
      <c r="M39">
        <v>99660</v>
      </c>
      <c r="N39">
        <v>1.23</v>
      </c>
      <c r="O39">
        <v>1.6</v>
      </c>
      <c r="T39">
        <v>1.4280460000000001E-3</v>
      </c>
      <c r="U39">
        <v>1.770417E-3</v>
      </c>
      <c r="V39">
        <v>1.415E-3</v>
      </c>
      <c r="W39">
        <v>0</v>
      </c>
      <c r="X39">
        <v>0</v>
      </c>
      <c r="Y39">
        <v>1.761E-3</v>
      </c>
    </row>
    <row r="40" spans="1:25" x14ac:dyDescent="0.25">
      <c r="B40">
        <v>95902</v>
      </c>
      <c r="C40">
        <v>156934</v>
      </c>
      <c r="D40">
        <v>368776</v>
      </c>
      <c r="E40">
        <v>645316</v>
      </c>
      <c r="F40">
        <v>56296</v>
      </c>
      <c r="G40">
        <v>43944</v>
      </c>
      <c r="H40">
        <f t="shared" si="6"/>
        <v>520974</v>
      </c>
      <c r="I40">
        <f t="shared" si="7"/>
        <v>846194</v>
      </c>
      <c r="J40">
        <v>93986</v>
      </c>
      <c r="K40">
        <v>301588</v>
      </c>
      <c r="L40">
        <v>59976</v>
      </c>
      <c r="M40">
        <v>71260</v>
      </c>
      <c r="N40">
        <v>1.18</v>
      </c>
      <c r="O40">
        <v>1.59</v>
      </c>
      <c r="T40">
        <v>1.323634E-3</v>
      </c>
      <c r="U40">
        <v>1.750995E-3</v>
      </c>
      <c r="V40">
        <v>1.312E-3</v>
      </c>
      <c r="W40">
        <v>1.73E-3</v>
      </c>
      <c r="X40">
        <v>0</v>
      </c>
      <c r="Y40">
        <v>0</v>
      </c>
    </row>
    <row r="41" spans="1:25" x14ac:dyDescent="0.25">
      <c r="B41">
        <v>105250</v>
      </c>
      <c r="C41">
        <v>159552</v>
      </c>
      <c r="D41">
        <v>376474</v>
      </c>
      <c r="E41">
        <v>644844</v>
      </c>
      <c r="F41">
        <v>54522</v>
      </c>
      <c r="G41">
        <v>43726</v>
      </c>
      <c r="H41">
        <f t="shared" si="6"/>
        <v>536246</v>
      </c>
      <c r="I41">
        <f t="shared" si="7"/>
        <v>848122</v>
      </c>
      <c r="J41">
        <v>97388</v>
      </c>
      <c r="K41">
        <v>294640</v>
      </c>
      <c r="L41">
        <v>66000</v>
      </c>
      <c r="M41">
        <v>74286</v>
      </c>
      <c r="N41">
        <v>1.21</v>
      </c>
      <c r="O41">
        <v>1.56</v>
      </c>
      <c r="T41">
        <v>1.394167E-3</v>
      </c>
      <c r="U41">
        <v>1.723006E-3</v>
      </c>
      <c r="V41">
        <v>1.3879999999999999E-3</v>
      </c>
      <c r="W41">
        <v>0</v>
      </c>
      <c r="X41">
        <v>0</v>
      </c>
      <c r="Y41">
        <v>1.7110000000000001E-3</v>
      </c>
    </row>
    <row r="42" spans="1:25" x14ac:dyDescent="0.25">
      <c r="B42">
        <v>99448</v>
      </c>
      <c r="C42">
        <v>169162</v>
      </c>
      <c r="D42">
        <v>371774</v>
      </c>
      <c r="E42">
        <v>709206</v>
      </c>
      <c r="F42">
        <v>55138</v>
      </c>
      <c r="G42">
        <v>46886</v>
      </c>
      <c r="H42">
        <f t="shared" si="6"/>
        <v>526360</v>
      </c>
      <c r="I42">
        <f t="shared" si="7"/>
        <v>925254</v>
      </c>
      <c r="J42">
        <v>95484</v>
      </c>
      <c r="K42">
        <v>267304</v>
      </c>
      <c r="L42">
        <v>61174</v>
      </c>
      <c r="M42">
        <v>67592</v>
      </c>
      <c r="N42">
        <v>1.19</v>
      </c>
      <c r="O42">
        <v>1.62</v>
      </c>
      <c r="T42">
        <v>1.338255E-3</v>
      </c>
      <c r="U42">
        <v>1.784849E-3</v>
      </c>
      <c r="V42">
        <v>1.322E-3</v>
      </c>
      <c r="W42">
        <v>0</v>
      </c>
      <c r="X42">
        <v>0</v>
      </c>
      <c r="Y42">
        <v>1.7240000000000001E-3</v>
      </c>
    </row>
    <row r="43" spans="1:25" x14ac:dyDescent="0.25">
      <c r="B43">
        <v>99516</v>
      </c>
      <c r="C43">
        <v>157976</v>
      </c>
      <c r="D43">
        <v>366896</v>
      </c>
      <c r="E43">
        <v>644694</v>
      </c>
      <c r="F43">
        <v>54140</v>
      </c>
      <c r="G43">
        <v>44866</v>
      </c>
      <c r="H43">
        <f t="shared" si="6"/>
        <v>520552</v>
      </c>
      <c r="I43">
        <f t="shared" si="7"/>
        <v>847536</v>
      </c>
      <c r="J43">
        <v>95442</v>
      </c>
      <c r="K43">
        <v>303638</v>
      </c>
      <c r="L43">
        <v>59086</v>
      </c>
      <c r="M43">
        <v>71658</v>
      </c>
      <c r="N43">
        <v>1.18</v>
      </c>
      <c r="O43">
        <v>1.56</v>
      </c>
      <c r="T43">
        <v>1.3733E-3</v>
      </c>
      <c r="U43">
        <v>1.7171199999999999E-3</v>
      </c>
      <c r="V43">
        <v>0</v>
      </c>
      <c r="W43">
        <v>0</v>
      </c>
      <c r="X43">
        <v>1.359E-3</v>
      </c>
      <c r="Y43">
        <v>1.707E-3</v>
      </c>
    </row>
    <row r="44" spans="1:25" x14ac:dyDescent="0.25">
      <c r="B44">
        <f>AVERAGE(B34:B43)</f>
        <v>101975.8</v>
      </c>
      <c r="C44">
        <f t="shared" ref="C44:Y44" si="8">AVERAGE(C34:C43)</f>
        <v>178910</v>
      </c>
      <c r="D44">
        <f t="shared" si="8"/>
        <v>373039.4</v>
      </c>
      <c r="E44">
        <f t="shared" si="8"/>
        <v>653289.6</v>
      </c>
      <c r="F44">
        <f t="shared" si="8"/>
        <v>55278.2</v>
      </c>
      <c r="G44">
        <f t="shared" si="8"/>
        <v>44666.2</v>
      </c>
      <c r="H44">
        <f t="shared" si="8"/>
        <v>530293.4</v>
      </c>
      <c r="I44">
        <f t="shared" si="8"/>
        <v>876865.8</v>
      </c>
      <c r="J44">
        <f t="shared" si="8"/>
        <v>102686.6</v>
      </c>
      <c r="K44">
        <f t="shared" si="8"/>
        <v>277329.2</v>
      </c>
      <c r="L44">
        <f t="shared" si="8"/>
        <v>67908.2</v>
      </c>
      <c r="M44">
        <f t="shared" si="8"/>
        <v>75788</v>
      </c>
      <c r="N44">
        <f t="shared" si="8"/>
        <v>1.198</v>
      </c>
      <c r="O44">
        <f t="shared" si="8"/>
        <v>1.5890000000000002</v>
      </c>
      <c r="P44" t="e">
        <f t="shared" si="8"/>
        <v>#DIV/0!</v>
      </c>
      <c r="Q44" t="e">
        <f t="shared" si="8"/>
        <v>#DIV/0!</v>
      </c>
      <c r="R44" t="e">
        <f t="shared" si="8"/>
        <v>#DIV/0!</v>
      </c>
      <c r="S44" t="e">
        <f t="shared" si="8"/>
        <v>#DIV/0!</v>
      </c>
      <c r="T44">
        <f t="shared" si="8"/>
        <v>1.4314885000000002E-3</v>
      </c>
      <c r="U44">
        <f t="shared" si="8"/>
        <v>1.8190418E-3</v>
      </c>
      <c r="V44">
        <f t="shared" si="8"/>
        <v>9.5359999999999998E-4</v>
      </c>
      <c r="W44">
        <f t="shared" si="8"/>
        <v>3.5639999999999999E-4</v>
      </c>
      <c r="X44">
        <f t="shared" si="8"/>
        <v>4.0109999999999999E-4</v>
      </c>
      <c r="Y44">
        <f t="shared" si="8"/>
        <v>1.3798E-3</v>
      </c>
    </row>
    <row r="45" spans="1:25" x14ac:dyDescent="0.25">
      <c r="C45">
        <f>100*C44/B44</f>
        <v>175.4435856350232</v>
      </c>
      <c r="E45">
        <f>100*E44/D44</f>
        <v>175.12616629771546</v>
      </c>
      <c r="G45">
        <f>100*G44/F44</f>
        <v>80.802558694024043</v>
      </c>
      <c r="I45">
        <f>100*I44/H44</f>
        <v>165.35483941531234</v>
      </c>
      <c r="K45">
        <f>100*K44/J44</f>
        <v>270.07340782536374</v>
      </c>
      <c r="M45">
        <f>100*M44/L44</f>
        <v>111.60360604463085</v>
      </c>
      <c r="O45">
        <f>100*O44/N44</f>
        <v>132.63772954924875</v>
      </c>
      <c r="Q45" t="e">
        <f>100*Q44/P44</f>
        <v>#DIV/0!</v>
      </c>
      <c r="S45" t="e">
        <f>100*S44/R44</f>
        <v>#DIV/0!</v>
      </c>
      <c r="U45">
        <f>100*U44/T44</f>
        <v>127.07344837209658</v>
      </c>
      <c r="W45">
        <f>100*W44/V44</f>
        <v>37.374161073825505</v>
      </c>
      <c r="Y45">
        <f>100*Y44/X44</f>
        <v>344.00398903016702</v>
      </c>
    </row>
    <row r="47" spans="1:25" x14ac:dyDescent="0.25">
      <c r="A47" t="s">
        <v>115</v>
      </c>
    </row>
    <row r="48" spans="1:25" x14ac:dyDescent="0.25">
      <c r="A48" t="s">
        <v>111</v>
      </c>
      <c r="B48" t="s">
        <v>81</v>
      </c>
      <c r="C48" t="s">
        <v>82</v>
      </c>
      <c r="D48" t="s">
        <v>81</v>
      </c>
      <c r="E48" t="s">
        <v>82</v>
      </c>
      <c r="F48" t="s">
        <v>81</v>
      </c>
      <c r="G48" t="s">
        <v>82</v>
      </c>
      <c r="H48" t="s">
        <v>81</v>
      </c>
      <c r="I48" t="s">
        <v>82</v>
      </c>
      <c r="J48" t="s">
        <v>81</v>
      </c>
      <c r="K48" t="s">
        <v>82</v>
      </c>
      <c r="L48" t="s">
        <v>81</v>
      </c>
      <c r="M48" t="s">
        <v>82</v>
      </c>
      <c r="N48" t="s">
        <v>81</v>
      </c>
      <c r="O48" t="s">
        <v>82</v>
      </c>
      <c r="P48" t="s">
        <v>81</v>
      </c>
      <c r="Q48" t="s">
        <v>82</v>
      </c>
      <c r="R48" t="s">
        <v>81</v>
      </c>
      <c r="S48" t="s">
        <v>82</v>
      </c>
      <c r="T48" t="s">
        <v>81</v>
      </c>
      <c r="U48" t="s">
        <v>82</v>
      </c>
      <c r="V48" t="s">
        <v>81</v>
      </c>
      <c r="W48" t="s">
        <v>82</v>
      </c>
      <c r="X48" t="s">
        <v>81</v>
      </c>
      <c r="Y48" t="s">
        <v>82</v>
      </c>
    </row>
    <row r="49" spans="2:25" x14ac:dyDescent="0.25">
      <c r="B49" t="s">
        <v>89</v>
      </c>
      <c r="C49" t="s">
        <v>89</v>
      </c>
      <c r="D49" t="s">
        <v>90</v>
      </c>
      <c r="E49" t="s">
        <v>90</v>
      </c>
      <c r="F49" t="s">
        <v>80</v>
      </c>
      <c r="G49" t="s">
        <v>80</v>
      </c>
      <c r="H49" t="s">
        <v>112</v>
      </c>
      <c r="I49" t="s">
        <v>112</v>
      </c>
      <c r="J49" t="s">
        <v>83</v>
      </c>
      <c r="K49" t="s">
        <v>83</v>
      </c>
      <c r="L49" t="s">
        <v>84</v>
      </c>
      <c r="M49" t="s">
        <v>84</v>
      </c>
      <c r="N49" t="s">
        <v>85</v>
      </c>
      <c r="O49" t="s">
        <v>85</v>
      </c>
      <c r="P49" t="s">
        <v>91</v>
      </c>
      <c r="Q49" t="s">
        <v>91</v>
      </c>
      <c r="R49" t="s">
        <v>87</v>
      </c>
      <c r="S49" t="s">
        <v>87</v>
      </c>
      <c r="T49" t="s">
        <v>88</v>
      </c>
      <c r="U49" t="s">
        <v>88</v>
      </c>
      <c r="V49" t="s">
        <v>4</v>
      </c>
      <c r="W49" t="s">
        <v>4</v>
      </c>
      <c r="X49" t="s">
        <v>6</v>
      </c>
      <c r="Y49" t="s">
        <v>6</v>
      </c>
    </row>
    <row r="50" spans="2:25" x14ac:dyDescent="0.25">
      <c r="B50">
        <v>130038</v>
      </c>
      <c r="C50">
        <v>171324</v>
      </c>
    </row>
    <row r="51" spans="2:25" x14ac:dyDescent="0.25">
      <c r="B51">
        <v>107968</v>
      </c>
      <c r="C51">
        <v>167498</v>
      </c>
    </row>
    <row r="52" spans="2:25" x14ac:dyDescent="0.25">
      <c r="B52">
        <v>131860</v>
      </c>
      <c r="C52">
        <v>172010</v>
      </c>
    </row>
    <row r="53" spans="2:25" x14ac:dyDescent="0.25">
      <c r="B53">
        <v>124416</v>
      </c>
      <c r="C53">
        <v>171842</v>
      </c>
    </row>
    <row r="54" spans="2:25" x14ac:dyDescent="0.25">
      <c r="B54">
        <v>117016</v>
      </c>
      <c r="C54">
        <v>169302</v>
      </c>
    </row>
    <row r="55" spans="2:25" x14ac:dyDescent="0.25">
      <c r="B55">
        <v>116320</v>
      </c>
      <c r="C55">
        <v>179224</v>
      </c>
    </row>
    <row r="56" spans="2:25" x14ac:dyDescent="0.25">
      <c r="B56">
        <v>101438</v>
      </c>
      <c r="C56">
        <v>165576</v>
      </c>
    </row>
    <row r="57" spans="2:25" x14ac:dyDescent="0.25">
      <c r="B57">
        <v>102952</v>
      </c>
      <c r="C57">
        <v>169086</v>
      </c>
    </row>
    <row r="58" spans="2:25" x14ac:dyDescent="0.25">
      <c r="B58">
        <v>102928</v>
      </c>
      <c r="C58">
        <v>173684</v>
      </c>
    </row>
    <row r="59" spans="2:25" x14ac:dyDescent="0.25">
      <c r="B59">
        <v>114962</v>
      </c>
      <c r="C59">
        <v>171478</v>
      </c>
    </row>
    <row r="61" spans="2:25" x14ac:dyDescent="0.25">
      <c r="I61">
        <v>1</v>
      </c>
      <c r="J61">
        <v>10</v>
      </c>
    </row>
    <row r="62" spans="2:25" x14ac:dyDescent="0.25">
      <c r="C62">
        <v>159200</v>
      </c>
      <c r="D62">
        <v>641820</v>
      </c>
      <c r="E62">
        <v>44194</v>
      </c>
      <c r="F62">
        <f>SUM(C62:E62)</f>
        <v>845214</v>
      </c>
      <c r="H62" t="s">
        <v>119</v>
      </c>
      <c r="I62">
        <v>1</v>
      </c>
      <c r="J62">
        <v>1</v>
      </c>
    </row>
    <row r="63" spans="2:25" x14ac:dyDescent="0.25">
      <c r="C63">
        <v>160896</v>
      </c>
      <c r="D63">
        <v>646056</v>
      </c>
      <c r="E63">
        <v>44220</v>
      </c>
      <c r="F63">
        <f t="shared" ref="F63:F71" si="9">SUM(C63:E63)</f>
        <v>851172</v>
      </c>
    </row>
    <row r="64" spans="2:25" x14ac:dyDescent="0.25">
      <c r="C64">
        <v>167904</v>
      </c>
      <c r="D64">
        <v>763402</v>
      </c>
      <c r="E64">
        <v>45372</v>
      </c>
      <c r="F64">
        <f t="shared" si="9"/>
        <v>976678</v>
      </c>
    </row>
    <row r="65" spans="3:6" x14ac:dyDescent="0.25">
      <c r="C65">
        <v>167736</v>
      </c>
      <c r="D65">
        <v>675972</v>
      </c>
      <c r="E65">
        <v>45366</v>
      </c>
      <c r="F65">
        <f t="shared" si="9"/>
        <v>889074</v>
      </c>
    </row>
    <row r="66" spans="3:6" x14ac:dyDescent="0.25">
      <c r="C66">
        <v>154930</v>
      </c>
      <c r="D66">
        <v>1311266</v>
      </c>
      <c r="E66">
        <v>43314</v>
      </c>
      <c r="F66">
        <f t="shared" si="9"/>
        <v>1509510</v>
      </c>
    </row>
    <row r="67" spans="3:6" x14ac:dyDescent="0.25">
      <c r="C67">
        <v>163326</v>
      </c>
      <c r="D67">
        <v>647528</v>
      </c>
      <c r="E67">
        <v>66434</v>
      </c>
      <c r="F67">
        <f t="shared" si="9"/>
        <v>877288</v>
      </c>
    </row>
    <row r="68" spans="3:6" x14ac:dyDescent="0.25">
      <c r="C68">
        <v>156252</v>
      </c>
      <c r="D68">
        <v>657330</v>
      </c>
      <c r="E68">
        <v>43438</v>
      </c>
      <c r="F68">
        <f t="shared" si="9"/>
        <v>857020</v>
      </c>
    </row>
    <row r="69" spans="3:6" x14ac:dyDescent="0.25">
      <c r="C69">
        <v>159200</v>
      </c>
      <c r="D69">
        <v>795520</v>
      </c>
      <c r="E69">
        <v>45212</v>
      </c>
      <c r="F69">
        <f t="shared" si="9"/>
        <v>999932</v>
      </c>
    </row>
    <row r="70" spans="3:6" x14ac:dyDescent="0.25">
      <c r="C70">
        <v>164142</v>
      </c>
      <c r="D70">
        <v>645746</v>
      </c>
      <c r="E70">
        <v>43456</v>
      </c>
      <c r="F70">
        <f t="shared" si="9"/>
        <v>853344</v>
      </c>
    </row>
    <row r="71" spans="3:6" x14ac:dyDescent="0.25">
      <c r="C71">
        <v>158630</v>
      </c>
      <c r="D71">
        <v>644818</v>
      </c>
      <c r="E71">
        <v>44596</v>
      </c>
      <c r="F71">
        <f t="shared" si="9"/>
        <v>848044</v>
      </c>
    </row>
    <row r="72" spans="3:6" x14ac:dyDescent="0.25">
      <c r="F72">
        <f>AVERAGE(F62:F71)</f>
        <v>950727.6</v>
      </c>
    </row>
    <row r="73" spans="3:6" x14ac:dyDescent="0.25">
      <c r="F73">
        <f>100*F72/H13</f>
        <v>168.65209255922966</v>
      </c>
    </row>
    <row r="90" spans="1:25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  <c r="T90" t="s">
        <v>81</v>
      </c>
      <c r="U90" t="s">
        <v>82</v>
      </c>
      <c r="V90" t="s">
        <v>81</v>
      </c>
      <c r="W90" t="s">
        <v>82</v>
      </c>
      <c r="X90" t="s">
        <v>81</v>
      </c>
      <c r="Y90" t="s">
        <v>82</v>
      </c>
    </row>
    <row r="91" spans="1:25" x14ac:dyDescent="0.25">
      <c r="B91" t="s">
        <v>89</v>
      </c>
      <c r="C91" t="s">
        <v>89</v>
      </c>
      <c r="D91" t="s">
        <v>90</v>
      </c>
      <c r="E91" t="s">
        <v>90</v>
      </c>
      <c r="F91" t="s">
        <v>80</v>
      </c>
      <c r="G91" t="s">
        <v>80</v>
      </c>
      <c r="H91" t="s">
        <v>112</v>
      </c>
      <c r="I91" t="s">
        <v>112</v>
      </c>
      <c r="J91" t="s">
        <v>83</v>
      </c>
      <c r="K91" t="s">
        <v>83</v>
      </c>
      <c r="L91" t="s">
        <v>84</v>
      </c>
      <c r="M91" t="s">
        <v>84</v>
      </c>
      <c r="N91" t="s">
        <v>85</v>
      </c>
      <c r="O91" t="s">
        <v>85</v>
      </c>
      <c r="P91" t="s">
        <v>91</v>
      </c>
      <c r="Q91" t="s">
        <v>91</v>
      </c>
      <c r="R91" t="s">
        <v>87</v>
      </c>
      <c r="S91" t="s">
        <v>87</v>
      </c>
      <c r="T91" t="s">
        <v>88</v>
      </c>
      <c r="U91" t="s">
        <v>88</v>
      </c>
      <c r="V91" t="s">
        <v>4</v>
      </c>
      <c r="W91" t="s">
        <v>4</v>
      </c>
      <c r="X91" t="s">
        <v>6</v>
      </c>
      <c r="Y91" t="s">
        <v>6</v>
      </c>
    </row>
    <row r="92" spans="1:25" x14ac:dyDescent="0.25">
      <c r="B92">
        <v>103392</v>
      </c>
      <c r="C92">
        <v>230586</v>
      </c>
      <c r="D92">
        <v>407578</v>
      </c>
      <c r="E92">
        <v>621256</v>
      </c>
      <c r="F92">
        <v>90244</v>
      </c>
      <c r="G92">
        <v>47538</v>
      </c>
      <c r="H92">
        <f>B92+D92+F92</f>
        <v>601214</v>
      </c>
      <c r="I92">
        <f>C92+E92+G92</f>
        <v>899380</v>
      </c>
      <c r="J92">
        <v>50682</v>
      </c>
      <c r="K92">
        <v>549828</v>
      </c>
      <c r="L92">
        <v>59992</v>
      </c>
      <c r="M92">
        <v>67444</v>
      </c>
      <c r="N92">
        <v>1.1399999999999999</v>
      </c>
      <c r="O92">
        <v>1.69</v>
      </c>
      <c r="T92">
        <v>1.2864949999999999E-3</v>
      </c>
      <c r="U92">
        <v>1.835871E-3</v>
      </c>
      <c r="V92">
        <v>0</v>
      </c>
      <c r="W92">
        <v>0</v>
      </c>
      <c r="X92">
        <v>1.2669999999999999E-3</v>
      </c>
      <c r="Y92">
        <v>1.8240000000000001E-3</v>
      </c>
    </row>
    <row r="93" spans="1:25" x14ac:dyDescent="0.25">
      <c r="B93">
        <v>97354</v>
      </c>
      <c r="C93">
        <v>192134</v>
      </c>
      <c r="D93">
        <v>406566</v>
      </c>
      <c r="E93">
        <v>619822</v>
      </c>
      <c r="F93">
        <v>53120</v>
      </c>
      <c r="G93">
        <v>48118</v>
      </c>
      <c r="H93">
        <f t="shared" ref="H93:H101" si="10">B93+D93+F93</f>
        <v>557040</v>
      </c>
      <c r="I93">
        <f t="shared" ref="I93:I101" si="11">C93+E93+G93</f>
        <v>860074</v>
      </c>
      <c r="J93">
        <v>48286</v>
      </c>
      <c r="K93">
        <v>320318</v>
      </c>
      <c r="L93">
        <v>83644</v>
      </c>
      <c r="M93">
        <v>67934</v>
      </c>
      <c r="N93">
        <v>1.1100000000000001</v>
      </c>
      <c r="O93">
        <v>1.58</v>
      </c>
      <c r="T93">
        <v>1.270202E-3</v>
      </c>
      <c r="U93">
        <v>1.749762E-3</v>
      </c>
      <c r="V93">
        <v>6.2200000000000005E-4</v>
      </c>
      <c r="W93">
        <v>1.7309999999999999E-3</v>
      </c>
      <c r="X93">
        <v>6.2100000000000002E-4</v>
      </c>
      <c r="Y93">
        <v>0</v>
      </c>
    </row>
    <row r="94" spans="1:25" x14ac:dyDescent="0.25">
      <c r="B94">
        <v>100838</v>
      </c>
      <c r="C94">
        <v>217742</v>
      </c>
      <c r="D94">
        <v>406740</v>
      </c>
      <c r="E94">
        <v>645658</v>
      </c>
      <c r="F94">
        <v>51878</v>
      </c>
      <c r="G94">
        <v>45382</v>
      </c>
      <c r="H94">
        <f t="shared" si="10"/>
        <v>559456</v>
      </c>
      <c r="I94">
        <f t="shared" si="11"/>
        <v>908782</v>
      </c>
      <c r="J94">
        <v>69158</v>
      </c>
      <c r="K94">
        <v>538778</v>
      </c>
      <c r="L94">
        <v>62990</v>
      </c>
      <c r="M94">
        <v>67234</v>
      </c>
      <c r="N94">
        <v>1.1100000000000001</v>
      </c>
      <c r="O94">
        <v>1.63</v>
      </c>
      <c r="T94">
        <v>1.2640640000000001E-3</v>
      </c>
      <c r="U94">
        <v>1.783909E-3</v>
      </c>
      <c r="V94">
        <v>0</v>
      </c>
      <c r="W94">
        <v>0</v>
      </c>
      <c r="X94">
        <v>1.2570000000000001E-3</v>
      </c>
      <c r="Y94">
        <v>1.732E-3</v>
      </c>
    </row>
    <row r="95" spans="1:25" x14ac:dyDescent="0.25">
      <c r="B95">
        <v>97030</v>
      </c>
      <c r="C95">
        <v>154556</v>
      </c>
      <c r="D95">
        <v>350766</v>
      </c>
      <c r="E95">
        <v>706072</v>
      </c>
      <c r="F95">
        <v>52360</v>
      </c>
      <c r="G95">
        <v>45950</v>
      </c>
      <c r="H95">
        <f t="shared" si="10"/>
        <v>500156</v>
      </c>
      <c r="I95">
        <f t="shared" si="11"/>
        <v>906578</v>
      </c>
      <c r="J95">
        <v>48292</v>
      </c>
      <c r="K95">
        <v>572884</v>
      </c>
      <c r="L95">
        <v>61018</v>
      </c>
      <c r="M95">
        <v>66010</v>
      </c>
      <c r="N95">
        <v>1.1000000000000001</v>
      </c>
      <c r="O95">
        <v>1.68</v>
      </c>
      <c r="T95">
        <v>1.2363579999999999E-3</v>
      </c>
      <c r="U95">
        <v>1.829074E-3</v>
      </c>
      <c r="V95">
        <v>1.2290000000000001E-3</v>
      </c>
      <c r="W95">
        <v>0</v>
      </c>
      <c r="X95">
        <v>0</v>
      </c>
      <c r="Y95">
        <v>1.779E-3</v>
      </c>
    </row>
    <row r="96" spans="1:25" x14ac:dyDescent="0.25">
      <c r="B96">
        <v>148730</v>
      </c>
      <c r="C96">
        <v>206784</v>
      </c>
      <c r="D96">
        <v>377386</v>
      </c>
      <c r="E96">
        <v>687842</v>
      </c>
      <c r="F96">
        <v>53408</v>
      </c>
      <c r="G96">
        <v>42738</v>
      </c>
      <c r="H96">
        <f t="shared" si="10"/>
        <v>579524</v>
      </c>
      <c r="I96">
        <f t="shared" si="11"/>
        <v>937364</v>
      </c>
      <c r="J96">
        <v>48192</v>
      </c>
      <c r="K96">
        <v>325420</v>
      </c>
      <c r="L96">
        <v>66098</v>
      </c>
      <c r="M96">
        <v>72568</v>
      </c>
      <c r="N96">
        <v>1.1100000000000001</v>
      </c>
      <c r="O96">
        <v>1.54</v>
      </c>
      <c r="T96">
        <v>1.251301E-3</v>
      </c>
      <c r="U96">
        <v>1.685326E-3</v>
      </c>
      <c r="V96">
        <v>0</v>
      </c>
      <c r="W96">
        <v>0</v>
      </c>
      <c r="X96">
        <v>1.2359999999999999E-3</v>
      </c>
      <c r="Y96">
        <v>1.6750000000000001E-3</v>
      </c>
    </row>
    <row r="97" spans="2:25" x14ac:dyDescent="0.25">
      <c r="B97">
        <v>98540</v>
      </c>
      <c r="C97">
        <v>153002</v>
      </c>
      <c r="D97">
        <v>392430</v>
      </c>
      <c r="E97">
        <v>686942</v>
      </c>
      <c r="F97">
        <v>53032</v>
      </c>
      <c r="G97">
        <v>45062</v>
      </c>
      <c r="H97">
        <f t="shared" si="10"/>
        <v>544002</v>
      </c>
      <c r="I97">
        <f t="shared" si="11"/>
        <v>885006</v>
      </c>
      <c r="J97">
        <v>75530</v>
      </c>
      <c r="K97">
        <v>416980</v>
      </c>
      <c r="L97">
        <v>63044</v>
      </c>
      <c r="M97">
        <v>65608</v>
      </c>
      <c r="N97">
        <v>1.1000000000000001</v>
      </c>
      <c r="O97">
        <v>1.58</v>
      </c>
      <c r="T97">
        <v>1.2506080000000001E-3</v>
      </c>
      <c r="U97">
        <v>1.7324580000000001E-3</v>
      </c>
      <c r="V97">
        <v>0</v>
      </c>
      <c r="W97">
        <v>8.4599999999999996E-4</v>
      </c>
      <c r="X97">
        <v>1.243E-3</v>
      </c>
      <c r="Y97">
        <v>8.43E-4</v>
      </c>
    </row>
    <row r="98" spans="2:25" x14ac:dyDescent="0.25">
      <c r="B98">
        <v>95836</v>
      </c>
      <c r="C98">
        <v>205224</v>
      </c>
      <c r="D98">
        <v>352410</v>
      </c>
      <c r="E98">
        <v>672288</v>
      </c>
      <c r="F98">
        <v>51710</v>
      </c>
      <c r="G98">
        <v>42568</v>
      </c>
      <c r="H98">
        <f t="shared" si="10"/>
        <v>499956</v>
      </c>
      <c r="I98">
        <f t="shared" si="11"/>
        <v>920080</v>
      </c>
      <c r="J98">
        <v>47586</v>
      </c>
      <c r="K98">
        <v>157506</v>
      </c>
      <c r="L98">
        <v>65542</v>
      </c>
      <c r="M98">
        <v>65038</v>
      </c>
      <c r="N98">
        <v>1.1100000000000001</v>
      </c>
      <c r="O98">
        <v>1.43</v>
      </c>
      <c r="T98">
        <v>1.283146E-3</v>
      </c>
      <c r="U98">
        <v>1.5794629999999999E-3</v>
      </c>
      <c r="V98">
        <v>0</v>
      </c>
      <c r="W98">
        <v>0</v>
      </c>
      <c r="X98">
        <v>1.2340000000000001E-3</v>
      </c>
      <c r="Y98">
        <v>1.5590000000000001E-3</v>
      </c>
    </row>
    <row r="99" spans="2:25" x14ac:dyDescent="0.25">
      <c r="B99">
        <v>97494</v>
      </c>
      <c r="C99">
        <v>154246</v>
      </c>
      <c r="D99">
        <v>362872</v>
      </c>
      <c r="E99">
        <v>615612</v>
      </c>
      <c r="F99">
        <v>53298</v>
      </c>
      <c r="G99">
        <v>42738</v>
      </c>
      <c r="H99">
        <f t="shared" si="10"/>
        <v>513664</v>
      </c>
      <c r="I99">
        <f t="shared" si="11"/>
        <v>812596</v>
      </c>
      <c r="J99">
        <v>47124</v>
      </c>
      <c r="K99">
        <v>158254</v>
      </c>
      <c r="L99">
        <v>65892</v>
      </c>
      <c r="M99">
        <v>124100</v>
      </c>
      <c r="N99">
        <v>1.1100000000000001</v>
      </c>
      <c r="O99">
        <v>1.46</v>
      </c>
      <c r="T99">
        <v>1.24898E-3</v>
      </c>
      <c r="U99">
        <v>1.605015E-3</v>
      </c>
      <c r="V99">
        <v>1.2390000000000001E-3</v>
      </c>
      <c r="W99">
        <v>7.8799999999999996E-4</v>
      </c>
      <c r="X99">
        <v>0</v>
      </c>
      <c r="Y99">
        <v>7.8399999999999997E-4</v>
      </c>
    </row>
    <row r="100" spans="2:25" x14ac:dyDescent="0.25">
      <c r="B100">
        <v>99896</v>
      </c>
      <c r="C100">
        <v>210036</v>
      </c>
      <c r="D100">
        <v>395396</v>
      </c>
      <c r="E100">
        <v>644494</v>
      </c>
      <c r="F100">
        <v>52404</v>
      </c>
      <c r="G100">
        <v>42242</v>
      </c>
      <c r="H100">
        <f t="shared" si="10"/>
        <v>547696</v>
      </c>
      <c r="I100">
        <f t="shared" si="11"/>
        <v>896772</v>
      </c>
      <c r="J100">
        <v>70382</v>
      </c>
      <c r="K100">
        <v>766330</v>
      </c>
      <c r="L100">
        <v>57694</v>
      </c>
      <c r="M100">
        <v>66836</v>
      </c>
      <c r="N100">
        <v>1.1000000000000001</v>
      </c>
      <c r="O100">
        <v>1.74</v>
      </c>
      <c r="T100">
        <v>1.2434830000000001E-3</v>
      </c>
      <c r="U100">
        <v>1.887899E-3</v>
      </c>
      <c r="V100">
        <v>0</v>
      </c>
      <c r="W100">
        <v>0</v>
      </c>
      <c r="X100">
        <v>1.224E-3</v>
      </c>
      <c r="Y100">
        <v>1.8680000000000001E-3</v>
      </c>
    </row>
    <row r="101" spans="2:25" x14ac:dyDescent="0.25">
      <c r="B101">
        <v>97866</v>
      </c>
      <c r="C101">
        <v>156952</v>
      </c>
      <c r="D101">
        <v>356288</v>
      </c>
      <c r="E101">
        <v>625338</v>
      </c>
      <c r="F101">
        <v>52772</v>
      </c>
      <c r="G101">
        <v>41310</v>
      </c>
      <c r="H101">
        <f t="shared" si="10"/>
        <v>506926</v>
      </c>
      <c r="I101">
        <f t="shared" si="11"/>
        <v>823600</v>
      </c>
      <c r="J101">
        <v>47696</v>
      </c>
      <c r="K101">
        <v>240854</v>
      </c>
      <c r="L101">
        <v>64708</v>
      </c>
      <c r="M101">
        <v>66256</v>
      </c>
      <c r="N101">
        <v>1.0900000000000001</v>
      </c>
      <c r="O101">
        <v>1.46</v>
      </c>
      <c r="T101">
        <v>1.230147E-3</v>
      </c>
      <c r="U101">
        <v>1.6150439999999999E-3</v>
      </c>
      <c r="V101">
        <v>1.224E-3</v>
      </c>
      <c r="W101">
        <v>7.8700000000000005E-4</v>
      </c>
      <c r="X101">
        <v>0</v>
      </c>
      <c r="Y101">
        <v>7.9000000000000001E-4</v>
      </c>
    </row>
    <row r="102" spans="2:25" x14ac:dyDescent="0.25">
      <c r="B102">
        <f>AVERAGE(B92:B101)</f>
        <v>103697.60000000001</v>
      </c>
      <c r="C102">
        <f t="shared" ref="C102:Y102" si="12">AVERAGE(C92:C101)</f>
        <v>188126.2</v>
      </c>
      <c r="D102">
        <f t="shared" si="12"/>
        <v>380843.2</v>
      </c>
      <c r="E102">
        <f t="shared" si="12"/>
        <v>652532.4</v>
      </c>
      <c r="F102">
        <f t="shared" si="12"/>
        <v>56422.6</v>
      </c>
      <c r="G102">
        <f t="shared" si="12"/>
        <v>44364.6</v>
      </c>
      <c r="H102">
        <f t="shared" si="12"/>
        <v>540963.4</v>
      </c>
      <c r="I102">
        <f t="shared" si="12"/>
        <v>885023.2</v>
      </c>
      <c r="J102">
        <f t="shared" si="12"/>
        <v>55292.800000000003</v>
      </c>
      <c r="K102">
        <f t="shared" si="12"/>
        <v>404715.2</v>
      </c>
      <c r="L102">
        <f t="shared" ref="L102" si="13">AVERAGE(L92:L101)</f>
        <v>65062.2</v>
      </c>
      <c r="M102">
        <f t="shared" ref="M102" si="14">AVERAGE(M92:M101)</f>
        <v>72902.8</v>
      </c>
      <c r="N102">
        <f t="shared" si="12"/>
        <v>1.1080000000000001</v>
      </c>
      <c r="O102">
        <f t="shared" si="12"/>
        <v>1.579</v>
      </c>
      <c r="P102" t="e">
        <f t="shared" si="12"/>
        <v>#DIV/0!</v>
      </c>
      <c r="Q102" t="e">
        <f t="shared" si="12"/>
        <v>#DIV/0!</v>
      </c>
      <c r="R102" t="e">
        <f t="shared" si="12"/>
        <v>#DIV/0!</v>
      </c>
      <c r="S102" t="e">
        <f t="shared" si="12"/>
        <v>#DIV/0!</v>
      </c>
      <c r="T102">
        <f t="shared" si="12"/>
        <v>1.2564784000000002E-3</v>
      </c>
      <c r="U102">
        <f t="shared" si="12"/>
        <v>1.7303820999999997E-3</v>
      </c>
      <c r="V102">
        <f t="shared" si="12"/>
        <v>4.3140000000000002E-4</v>
      </c>
      <c r="W102">
        <f t="shared" si="12"/>
        <v>4.1520000000000001E-4</v>
      </c>
      <c r="X102">
        <f t="shared" si="12"/>
        <v>8.0820000000000002E-4</v>
      </c>
      <c r="Y102">
        <f t="shared" si="12"/>
        <v>1.2854000000000001E-3</v>
      </c>
    </row>
    <row r="103" spans="2:25" x14ac:dyDescent="0.25">
      <c r="C103">
        <f>100*C102/B102</f>
        <v>181.41808489299655</v>
      </c>
      <c r="E103">
        <f>100*E102/D102</f>
        <v>171.33886071748162</v>
      </c>
      <c r="G103">
        <f>100*G102/F102</f>
        <v>78.629130880179218</v>
      </c>
      <c r="I103">
        <f>100*I102/H102</f>
        <v>163.60130833250454</v>
      </c>
      <c r="K103">
        <f>100*K102/J102</f>
        <v>731.94918687424035</v>
      </c>
      <c r="M103">
        <f>100*M102/L102</f>
        <v>112.05092972570864</v>
      </c>
      <c r="O103">
        <f>100*O102/N102</f>
        <v>142.50902527075812</v>
      </c>
      <c r="U103">
        <f>100*U102/T102</f>
        <v>137.71682028119221</v>
      </c>
      <c r="W103">
        <f>100*W102/V102</f>
        <v>96.24478442280946</v>
      </c>
      <c r="Y103">
        <f>100*Y102/X102</f>
        <v>159.04479089334325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7E567-DE7E-4173-8695-236E62BFE468}">
  <dimension ref="A1:U103"/>
  <sheetViews>
    <sheetView topLeftCell="A91" workbookViewId="0">
      <selection activeCell="G103" sqref="G103"/>
    </sheetView>
  </sheetViews>
  <sheetFormatPr defaultRowHeight="15" x14ac:dyDescent="0.25"/>
  <cols>
    <col min="7" max="7" width="10" bestFit="1" customWidth="1"/>
  </cols>
  <sheetData>
    <row r="1" spans="1:21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  <c r="T1" t="s">
        <v>81</v>
      </c>
      <c r="U1" t="s">
        <v>82</v>
      </c>
    </row>
    <row r="2" spans="1:21" x14ac:dyDescent="0.25">
      <c r="B2" t="s">
        <v>112</v>
      </c>
      <c r="C2" t="s">
        <v>112</v>
      </c>
      <c r="D2" t="s">
        <v>92</v>
      </c>
      <c r="E2" t="s">
        <v>92</v>
      </c>
      <c r="F2" t="s">
        <v>83</v>
      </c>
      <c r="G2" t="s">
        <v>83</v>
      </c>
      <c r="H2" t="s">
        <v>84</v>
      </c>
      <c r="I2" t="s">
        <v>84</v>
      </c>
      <c r="J2" t="s">
        <v>85</v>
      </c>
      <c r="K2" t="s">
        <v>85</v>
      </c>
      <c r="L2" t="s">
        <v>86</v>
      </c>
      <c r="M2" t="s">
        <v>86</v>
      </c>
      <c r="N2" t="s">
        <v>87</v>
      </c>
      <c r="O2" t="s">
        <v>87</v>
      </c>
      <c r="P2" t="s">
        <v>88</v>
      </c>
      <c r="Q2" t="s">
        <v>88</v>
      </c>
      <c r="R2" t="s">
        <v>4</v>
      </c>
      <c r="S2" t="s">
        <v>4</v>
      </c>
      <c r="T2" t="s">
        <v>6</v>
      </c>
      <c r="U2" t="s">
        <v>6</v>
      </c>
    </row>
    <row r="3" spans="1:21" x14ac:dyDescent="0.25">
      <c r="B3">
        <v>34410510</v>
      </c>
      <c r="C3">
        <v>75576464</v>
      </c>
      <c r="D3">
        <v>431652</v>
      </c>
      <c r="E3">
        <v>1301400</v>
      </c>
      <c r="F3">
        <v>84050912</v>
      </c>
      <c r="G3">
        <v>115455386</v>
      </c>
      <c r="H3">
        <v>1601748</v>
      </c>
      <c r="I3">
        <v>1927916</v>
      </c>
      <c r="J3">
        <v>61.3</v>
      </c>
      <c r="K3">
        <v>110.55</v>
      </c>
      <c r="L3">
        <v>7612</v>
      </c>
      <c r="N3">
        <v>642</v>
      </c>
      <c r="P3">
        <v>6.1496589999999997E-2</v>
      </c>
      <c r="Q3">
        <v>0.110780589</v>
      </c>
      <c r="R3">
        <v>3.2974999999999997E-2</v>
      </c>
      <c r="S3">
        <v>5.8556999999999998E-2</v>
      </c>
      <c r="T3">
        <v>2.7982E-2</v>
      </c>
      <c r="U3">
        <v>5.0799999999999998E-2</v>
      </c>
    </row>
    <row r="4" spans="1:21" x14ac:dyDescent="0.25">
      <c r="B4">
        <v>34269062</v>
      </c>
      <c r="C4">
        <v>76058994</v>
      </c>
      <c r="D4">
        <v>434358</v>
      </c>
      <c r="E4">
        <v>1296916</v>
      </c>
      <c r="F4">
        <v>78837524</v>
      </c>
      <c r="G4">
        <v>137162694</v>
      </c>
      <c r="H4">
        <v>1631120</v>
      </c>
      <c r="I4">
        <v>1887124</v>
      </c>
      <c r="J4">
        <v>58.63</v>
      </c>
      <c r="K4">
        <v>109.39</v>
      </c>
      <c r="L4">
        <v>7222</v>
      </c>
      <c r="N4">
        <v>644</v>
      </c>
      <c r="P4">
        <v>5.8834063999999998E-2</v>
      </c>
      <c r="Q4">
        <v>0.109622792</v>
      </c>
      <c r="R4">
        <v>3.0988000000000002E-2</v>
      </c>
      <c r="S4">
        <v>6.0815000000000001E-2</v>
      </c>
      <c r="T4">
        <v>2.6980000000000001E-2</v>
      </c>
      <c r="U4">
        <v>4.7534E-2</v>
      </c>
    </row>
    <row r="5" spans="1:21" x14ac:dyDescent="0.25">
      <c r="B5">
        <v>34415144</v>
      </c>
      <c r="C5">
        <v>74606112</v>
      </c>
      <c r="D5">
        <v>451292</v>
      </c>
      <c r="E5">
        <v>1342146</v>
      </c>
      <c r="F5">
        <v>79149196</v>
      </c>
      <c r="G5">
        <v>115355074</v>
      </c>
      <c r="H5">
        <v>1652000</v>
      </c>
      <c r="I5">
        <v>1906122</v>
      </c>
      <c r="J5">
        <v>58.89</v>
      </c>
      <c r="K5">
        <v>97.8</v>
      </c>
      <c r="L5">
        <v>7223</v>
      </c>
      <c r="N5">
        <v>643</v>
      </c>
      <c r="P5">
        <v>5.9093832999999998E-2</v>
      </c>
      <c r="Q5">
        <v>9.8059673E-2</v>
      </c>
      <c r="R5">
        <v>3.5957999999999997E-2</v>
      </c>
      <c r="S5">
        <v>5.6577000000000002E-2</v>
      </c>
      <c r="T5">
        <v>2.2967999999999999E-2</v>
      </c>
      <c r="U5">
        <v>4.0689000000000003E-2</v>
      </c>
    </row>
    <row r="6" spans="1:21" x14ac:dyDescent="0.25">
      <c r="B6">
        <v>34232016</v>
      </c>
      <c r="C6">
        <v>75640618</v>
      </c>
      <c r="D6">
        <v>447762</v>
      </c>
      <c r="E6">
        <v>1276256</v>
      </c>
      <c r="F6">
        <v>79574524</v>
      </c>
      <c r="G6">
        <v>111326154</v>
      </c>
      <c r="H6">
        <v>1618410</v>
      </c>
      <c r="I6">
        <v>1899290</v>
      </c>
      <c r="J6">
        <v>58.99</v>
      </c>
      <c r="K6">
        <v>96.16</v>
      </c>
      <c r="L6">
        <v>7223</v>
      </c>
      <c r="N6">
        <v>639</v>
      </c>
      <c r="P6">
        <v>5.9202752999999997E-2</v>
      </c>
      <c r="Q6">
        <v>9.6423200000000001E-2</v>
      </c>
      <c r="R6">
        <v>3.3968999999999999E-2</v>
      </c>
      <c r="S6">
        <v>5.2639999999999999E-2</v>
      </c>
      <c r="T6">
        <v>2.4969000000000002E-2</v>
      </c>
      <c r="U6">
        <v>4.2701000000000003E-2</v>
      </c>
    </row>
    <row r="7" spans="1:21" x14ac:dyDescent="0.25">
      <c r="B7">
        <v>34280092</v>
      </c>
      <c r="C7">
        <v>75342684</v>
      </c>
      <c r="D7">
        <v>441586</v>
      </c>
      <c r="E7">
        <v>1275710</v>
      </c>
      <c r="F7">
        <v>78901838</v>
      </c>
      <c r="G7">
        <v>120508818</v>
      </c>
      <c r="H7">
        <v>1669698</v>
      </c>
      <c r="I7">
        <v>1877474</v>
      </c>
      <c r="J7">
        <v>58.69</v>
      </c>
      <c r="K7">
        <v>100.67</v>
      </c>
      <c r="L7">
        <v>7217</v>
      </c>
      <c r="N7">
        <v>640</v>
      </c>
      <c r="P7">
        <v>5.8892311000000003E-2</v>
      </c>
      <c r="Q7">
        <v>0.10097418700000001</v>
      </c>
      <c r="R7">
        <v>3.5437000000000003E-2</v>
      </c>
      <c r="S7">
        <v>5.9521999999999999E-2</v>
      </c>
      <c r="T7">
        <v>2.3282000000000001E-2</v>
      </c>
      <c r="U7">
        <v>4.0640000000000003E-2</v>
      </c>
    </row>
    <row r="8" spans="1:21" x14ac:dyDescent="0.25">
      <c r="B8">
        <v>34313214</v>
      </c>
      <c r="C8">
        <v>75655970</v>
      </c>
      <c r="D8">
        <v>448222</v>
      </c>
      <c r="E8">
        <v>1280686</v>
      </c>
      <c r="F8">
        <v>84623970</v>
      </c>
      <c r="G8">
        <v>105990866</v>
      </c>
      <c r="H8">
        <v>1685516</v>
      </c>
      <c r="I8">
        <v>1968570</v>
      </c>
      <c r="J8">
        <v>61.58</v>
      </c>
      <c r="K8">
        <v>93.61</v>
      </c>
      <c r="L8">
        <v>7616</v>
      </c>
      <c r="N8">
        <v>635</v>
      </c>
      <c r="P8">
        <v>6.1793608999999999E-2</v>
      </c>
      <c r="Q8">
        <v>9.3826140000000002E-2</v>
      </c>
      <c r="R8">
        <v>3.3989999999999999E-2</v>
      </c>
      <c r="S8">
        <v>5.169E-2</v>
      </c>
      <c r="T8">
        <v>2.6953999999999999E-2</v>
      </c>
      <c r="U8">
        <v>4.0718999999999998E-2</v>
      </c>
    </row>
    <row r="9" spans="1:21" x14ac:dyDescent="0.25">
      <c r="B9">
        <v>34124680</v>
      </c>
      <c r="C9">
        <v>75347646</v>
      </c>
      <c r="D9">
        <v>431294</v>
      </c>
      <c r="E9">
        <v>1406446</v>
      </c>
      <c r="F9">
        <v>79207756</v>
      </c>
      <c r="G9">
        <v>115830706</v>
      </c>
      <c r="H9">
        <v>1636746</v>
      </c>
      <c r="I9">
        <v>1872010</v>
      </c>
      <c r="J9">
        <v>58.73</v>
      </c>
      <c r="K9">
        <v>98.43</v>
      </c>
      <c r="L9">
        <v>7216</v>
      </c>
      <c r="N9">
        <v>645</v>
      </c>
      <c r="P9">
        <v>5.8938918E-2</v>
      </c>
      <c r="Q9">
        <v>9.8654248999999999E-2</v>
      </c>
      <c r="R9">
        <v>3.4467999999999999E-2</v>
      </c>
      <c r="S9">
        <v>5.2422999999999997E-2</v>
      </c>
      <c r="T9">
        <v>2.4320000000000001E-2</v>
      </c>
      <c r="U9">
        <v>4.5476000000000003E-2</v>
      </c>
    </row>
    <row r="10" spans="1:21" x14ac:dyDescent="0.25">
      <c r="B10">
        <v>34191340</v>
      </c>
      <c r="C10">
        <v>76320914</v>
      </c>
      <c r="D10">
        <v>437762</v>
      </c>
      <c r="E10">
        <v>1385212</v>
      </c>
      <c r="F10">
        <v>81245216</v>
      </c>
      <c r="G10">
        <v>110490412</v>
      </c>
      <c r="H10">
        <v>1771426</v>
      </c>
      <c r="I10">
        <v>1901070</v>
      </c>
      <c r="J10">
        <v>59.85</v>
      </c>
      <c r="K10">
        <v>96.21</v>
      </c>
      <c r="L10">
        <v>7414</v>
      </c>
      <c r="N10">
        <v>644</v>
      </c>
      <c r="P10">
        <v>6.0052024000000002E-2</v>
      </c>
      <c r="Q10">
        <v>9.6432451000000002E-2</v>
      </c>
      <c r="R10">
        <v>3.2939999999999997E-2</v>
      </c>
      <c r="S10">
        <v>5.5598000000000002E-2</v>
      </c>
      <c r="T10">
        <v>2.6941E-2</v>
      </c>
      <c r="U10">
        <v>3.9697999999999997E-2</v>
      </c>
    </row>
    <row r="11" spans="1:21" x14ac:dyDescent="0.25">
      <c r="B11">
        <v>34319316</v>
      </c>
      <c r="C11">
        <v>76242948</v>
      </c>
      <c r="D11">
        <v>432542</v>
      </c>
      <c r="E11">
        <v>1400170</v>
      </c>
      <c r="F11">
        <v>81828858</v>
      </c>
      <c r="G11">
        <v>117016864</v>
      </c>
      <c r="H11">
        <v>1662024</v>
      </c>
      <c r="I11">
        <v>1902004</v>
      </c>
      <c r="J11">
        <v>60.14</v>
      </c>
      <c r="K11">
        <v>99.43</v>
      </c>
      <c r="L11">
        <v>7414</v>
      </c>
      <c r="N11">
        <v>640</v>
      </c>
      <c r="P11">
        <v>6.0352978000000002E-2</v>
      </c>
      <c r="Q11">
        <v>9.9700952999999995E-2</v>
      </c>
      <c r="R11">
        <v>3.3959999999999997E-2</v>
      </c>
      <c r="S11">
        <v>5.9569999999999998E-2</v>
      </c>
      <c r="T11">
        <v>2.5957000000000001E-2</v>
      </c>
      <c r="U11">
        <v>3.8712999999999997E-2</v>
      </c>
    </row>
    <row r="12" spans="1:21" x14ac:dyDescent="0.25">
      <c r="B12">
        <v>34298970</v>
      </c>
      <c r="C12">
        <v>76037650</v>
      </c>
      <c r="D12">
        <v>435560</v>
      </c>
      <c r="E12">
        <v>1476652</v>
      </c>
      <c r="F12">
        <v>81498498</v>
      </c>
      <c r="G12">
        <v>119528716</v>
      </c>
      <c r="H12">
        <v>1680818</v>
      </c>
      <c r="I12">
        <v>1969036</v>
      </c>
      <c r="J12">
        <v>59.97</v>
      </c>
      <c r="K12">
        <v>100.69</v>
      </c>
      <c r="L12">
        <v>7420</v>
      </c>
      <c r="N12">
        <v>639</v>
      </c>
      <c r="P12">
        <v>6.0217311000000003E-2</v>
      </c>
      <c r="Q12">
        <v>0.100911889</v>
      </c>
      <c r="R12">
        <v>2.6970999999999998E-2</v>
      </c>
      <c r="S12">
        <v>5.6444000000000001E-2</v>
      </c>
      <c r="T12">
        <v>3.2959000000000002E-2</v>
      </c>
      <c r="U12">
        <v>4.3555999999999997E-2</v>
      </c>
    </row>
    <row r="13" spans="1:21" x14ac:dyDescent="0.25">
      <c r="B13">
        <f>AVERAGE(B3:B12)</f>
        <v>34285434.399999999</v>
      </c>
      <c r="C13">
        <f t="shared" ref="C13:U13" si="0">AVERAGE(C3:C12)</f>
        <v>75683000</v>
      </c>
      <c r="D13">
        <f t="shared" si="0"/>
        <v>439203</v>
      </c>
      <c r="E13">
        <f t="shared" si="0"/>
        <v>1344159.4</v>
      </c>
      <c r="F13">
        <f t="shared" si="0"/>
        <v>80891829.200000003</v>
      </c>
      <c r="G13">
        <f t="shared" si="0"/>
        <v>116866569</v>
      </c>
      <c r="H13">
        <f t="shared" si="0"/>
        <v>1660950.6</v>
      </c>
      <c r="I13">
        <f t="shared" si="0"/>
        <v>1911061.6</v>
      </c>
      <c r="J13">
        <f t="shared" si="0"/>
        <v>59.677000000000007</v>
      </c>
      <c r="K13">
        <f t="shared" si="0"/>
        <v>100.29400000000001</v>
      </c>
      <c r="L13">
        <f t="shared" si="0"/>
        <v>7357.7</v>
      </c>
      <c r="M13" t="e">
        <f t="shared" si="0"/>
        <v>#DIV/0!</v>
      </c>
      <c r="N13">
        <f t="shared" si="0"/>
        <v>641.1</v>
      </c>
      <c r="O13" t="e">
        <f t="shared" si="0"/>
        <v>#DIV/0!</v>
      </c>
      <c r="P13">
        <f t="shared" si="0"/>
        <v>5.9887439100000009E-2</v>
      </c>
      <c r="Q13">
        <f t="shared" si="0"/>
        <v>0.10053861230000001</v>
      </c>
      <c r="R13">
        <f t="shared" si="0"/>
        <v>3.3165600000000003E-2</v>
      </c>
      <c r="S13">
        <f t="shared" si="0"/>
        <v>5.6383599999999999E-2</v>
      </c>
      <c r="T13">
        <f t="shared" si="0"/>
        <v>2.6331200000000006E-2</v>
      </c>
      <c r="U13">
        <f t="shared" si="0"/>
        <v>4.3052600000000003E-2</v>
      </c>
    </row>
    <row r="14" spans="1:21" x14ac:dyDescent="0.25">
      <c r="C14">
        <f>100*C13/B13</f>
        <v>220.74388533925065</v>
      </c>
      <c r="E14">
        <f>100*E13/D13</f>
        <v>306.0451317500108</v>
      </c>
      <c r="G14">
        <f>100*G13/F13</f>
        <v>144.47264965544875</v>
      </c>
      <c r="I14">
        <f>100*I13/H13</f>
        <v>115.05830456366371</v>
      </c>
      <c r="K14">
        <f>100*K13/J13</f>
        <v>168.06139718819645</v>
      </c>
      <c r="M14" t="e">
        <f>100*M13/L13</f>
        <v>#DIV/0!</v>
      </c>
      <c r="O14" t="e">
        <f>100*O13/N13</f>
        <v>#DIV/0!</v>
      </c>
      <c r="Q14">
        <f>100*Q13/P13</f>
        <v>167.87929791441022</v>
      </c>
      <c r="S14">
        <f>100*S13/R13</f>
        <v>170.00627155848224</v>
      </c>
      <c r="U14">
        <f>100*U13/T13</f>
        <v>163.50413198031231</v>
      </c>
    </row>
    <row r="16" spans="1:21" x14ac:dyDescent="0.25">
      <c r="A16" t="s">
        <v>107</v>
      </c>
      <c r="B16" t="s">
        <v>81</v>
      </c>
      <c r="C16" t="s">
        <v>82</v>
      </c>
      <c r="D16" t="s">
        <v>81</v>
      </c>
      <c r="E16" t="s">
        <v>82</v>
      </c>
      <c r="F16" t="s">
        <v>81</v>
      </c>
      <c r="G16" t="s">
        <v>82</v>
      </c>
      <c r="H16" t="s">
        <v>81</v>
      </c>
      <c r="I16" t="s">
        <v>82</v>
      </c>
      <c r="J16" t="s">
        <v>81</v>
      </c>
      <c r="K16" t="s">
        <v>82</v>
      </c>
      <c r="L16" t="s">
        <v>81</v>
      </c>
      <c r="M16" t="s">
        <v>82</v>
      </c>
      <c r="N16" t="s">
        <v>81</v>
      </c>
      <c r="O16" t="s">
        <v>82</v>
      </c>
      <c r="P16" t="s">
        <v>81</v>
      </c>
      <c r="Q16" t="s">
        <v>82</v>
      </c>
      <c r="R16" t="s">
        <v>81</v>
      </c>
      <c r="S16" t="s">
        <v>82</v>
      </c>
      <c r="T16" t="s">
        <v>81</v>
      </c>
      <c r="U16" t="s">
        <v>82</v>
      </c>
    </row>
    <row r="17" spans="2:21" x14ac:dyDescent="0.25">
      <c r="B17" t="s">
        <v>112</v>
      </c>
      <c r="C17" t="s">
        <v>112</v>
      </c>
      <c r="D17" t="s">
        <v>92</v>
      </c>
      <c r="E17" t="s">
        <v>92</v>
      </c>
      <c r="F17" t="s">
        <v>83</v>
      </c>
      <c r="G17" t="s">
        <v>83</v>
      </c>
      <c r="H17" t="s">
        <v>84</v>
      </c>
      <c r="I17" t="s">
        <v>84</v>
      </c>
      <c r="J17" t="s">
        <v>85</v>
      </c>
      <c r="K17" t="s">
        <v>85</v>
      </c>
      <c r="L17" t="s">
        <v>86</v>
      </c>
      <c r="M17" t="s">
        <v>86</v>
      </c>
      <c r="N17" t="s">
        <v>87</v>
      </c>
      <c r="O17" t="s">
        <v>87</v>
      </c>
      <c r="P17" t="s">
        <v>88</v>
      </c>
      <c r="Q17" t="s">
        <v>88</v>
      </c>
      <c r="R17" t="s">
        <v>4</v>
      </c>
      <c r="S17" t="s">
        <v>4</v>
      </c>
      <c r="T17" t="s">
        <v>6</v>
      </c>
      <c r="U17" t="s">
        <v>6</v>
      </c>
    </row>
    <row r="18" spans="2:21" x14ac:dyDescent="0.25">
      <c r="B18">
        <v>6244824</v>
      </c>
      <c r="C18">
        <v>6844556</v>
      </c>
      <c r="D18">
        <v>83906</v>
      </c>
      <c r="E18">
        <v>89448</v>
      </c>
      <c r="F18">
        <v>2513098</v>
      </c>
      <c r="G18">
        <v>3528634</v>
      </c>
      <c r="H18">
        <v>266606</v>
      </c>
      <c r="I18">
        <v>413844</v>
      </c>
      <c r="J18">
        <v>5.97</v>
      </c>
      <c r="K18">
        <v>6.99</v>
      </c>
      <c r="P18">
        <v>6.1647270000000001E-3</v>
      </c>
      <c r="Q18">
        <v>7.2243280000000003E-3</v>
      </c>
      <c r="R18">
        <v>4.071E-3</v>
      </c>
      <c r="S18">
        <v>3.0400000000000002E-3</v>
      </c>
      <c r="T18">
        <v>2.0330000000000001E-3</v>
      </c>
      <c r="U18">
        <v>4.0470000000000002E-3</v>
      </c>
    </row>
    <row r="19" spans="2:21" x14ac:dyDescent="0.25">
      <c r="B19">
        <v>6138986</v>
      </c>
      <c r="C19">
        <v>6756238</v>
      </c>
      <c r="D19">
        <v>88064</v>
      </c>
      <c r="E19">
        <v>89126</v>
      </c>
      <c r="F19">
        <v>2308498</v>
      </c>
      <c r="G19">
        <v>2376916</v>
      </c>
      <c r="H19">
        <v>271798</v>
      </c>
      <c r="I19">
        <v>301790</v>
      </c>
      <c r="J19">
        <v>5.76</v>
      </c>
      <c r="K19">
        <v>6.32</v>
      </c>
      <c r="P19">
        <v>5.9486440000000003E-3</v>
      </c>
      <c r="Q19">
        <v>6.5318609999999999E-3</v>
      </c>
      <c r="R19">
        <v>1.9650000000000002E-3</v>
      </c>
      <c r="S19">
        <v>4.287E-3</v>
      </c>
      <c r="T19">
        <v>3.921E-3</v>
      </c>
      <c r="U19">
        <v>2.14E-3</v>
      </c>
    </row>
    <row r="20" spans="2:21" x14ac:dyDescent="0.25">
      <c r="B20">
        <v>5955476</v>
      </c>
      <c r="C20">
        <v>6810972</v>
      </c>
      <c r="D20">
        <v>83192</v>
      </c>
      <c r="E20">
        <v>90750</v>
      </c>
      <c r="F20">
        <v>2680166</v>
      </c>
      <c r="G20">
        <v>2408550</v>
      </c>
      <c r="H20">
        <v>271650</v>
      </c>
      <c r="I20">
        <v>300924</v>
      </c>
      <c r="J20">
        <v>5.84</v>
      </c>
      <c r="K20">
        <v>6.33</v>
      </c>
      <c r="P20">
        <v>6.0338309999999999E-3</v>
      </c>
      <c r="Q20">
        <v>6.531813E-3</v>
      </c>
      <c r="R20">
        <v>1.9880000000000002E-3</v>
      </c>
      <c r="S20">
        <v>1.0759999999999999E-3</v>
      </c>
      <c r="T20">
        <v>3.9760000000000004E-3</v>
      </c>
      <c r="U20">
        <v>5.3579999999999999E-3</v>
      </c>
    </row>
    <row r="21" spans="2:21" x14ac:dyDescent="0.25">
      <c r="B21">
        <v>6085762</v>
      </c>
      <c r="C21">
        <v>6995908</v>
      </c>
      <c r="D21">
        <v>85584</v>
      </c>
      <c r="E21">
        <v>85958</v>
      </c>
      <c r="F21">
        <v>2269330</v>
      </c>
      <c r="G21">
        <v>4982024</v>
      </c>
      <c r="H21">
        <v>274784</v>
      </c>
      <c r="I21">
        <v>298880</v>
      </c>
      <c r="J21">
        <v>5.68</v>
      </c>
      <c r="K21">
        <v>7.68</v>
      </c>
      <c r="P21">
        <v>5.8543069999999996E-3</v>
      </c>
      <c r="Q21">
        <v>7.8935859999999993E-3</v>
      </c>
      <c r="R21">
        <v>1.931E-3</v>
      </c>
      <c r="S21">
        <v>2.2279999999999999E-3</v>
      </c>
      <c r="T21">
        <v>3.8609999999999998E-3</v>
      </c>
      <c r="U21">
        <v>5.555E-3</v>
      </c>
    </row>
    <row r="22" spans="2:21" x14ac:dyDescent="0.25">
      <c r="B22">
        <v>6085352</v>
      </c>
      <c r="C22">
        <v>6641752</v>
      </c>
      <c r="D22">
        <v>95858</v>
      </c>
      <c r="E22">
        <v>89860</v>
      </c>
      <c r="F22">
        <v>2278960</v>
      </c>
      <c r="G22">
        <v>3226224</v>
      </c>
      <c r="H22">
        <v>297172</v>
      </c>
      <c r="I22">
        <v>308574</v>
      </c>
      <c r="J22">
        <v>5.68</v>
      </c>
      <c r="K22">
        <v>6.69</v>
      </c>
      <c r="P22">
        <v>5.8677640000000001E-3</v>
      </c>
      <c r="Q22">
        <v>6.8890080000000003E-3</v>
      </c>
      <c r="R22">
        <v>2.3259999999999999E-3</v>
      </c>
      <c r="S22">
        <v>3.8679999999999999E-3</v>
      </c>
      <c r="T22">
        <v>3.4910000000000002E-3</v>
      </c>
      <c r="U22">
        <v>2.8999999999999998E-3</v>
      </c>
    </row>
    <row r="23" spans="2:21" x14ac:dyDescent="0.25">
      <c r="B23">
        <v>6082314</v>
      </c>
      <c r="C23">
        <v>6795964</v>
      </c>
      <c r="D23">
        <v>84466</v>
      </c>
      <c r="E23">
        <v>90452</v>
      </c>
      <c r="F23">
        <v>2391570</v>
      </c>
      <c r="G23">
        <v>4374486</v>
      </c>
      <c r="H23">
        <v>286026</v>
      </c>
      <c r="I23">
        <v>296496</v>
      </c>
      <c r="J23">
        <v>5.74</v>
      </c>
      <c r="K23">
        <v>7.27</v>
      </c>
      <c r="P23">
        <v>5.9251690000000001E-3</v>
      </c>
      <c r="Q23">
        <v>7.4787330000000004E-3</v>
      </c>
      <c r="R23">
        <v>1.176E-3</v>
      </c>
      <c r="S23">
        <v>3.16E-3</v>
      </c>
      <c r="T23">
        <v>4.692E-3</v>
      </c>
      <c r="U23">
        <v>4.2139999999999999E-3</v>
      </c>
    </row>
    <row r="24" spans="2:21" x14ac:dyDescent="0.25">
      <c r="B24">
        <v>6065480</v>
      </c>
      <c r="C24">
        <v>6680088</v>
      </c>
      <c r="D24">
        <v>84454</v>
      </c>
      <c r="E24">
        <v>87868</v>
      </c>
      <c r="F24">
        <v>2019430</v>
      </c>
      <c r="G24">
        <v>2307880</v>
      </c>
      <c r="H24">
        <v>268708</v>
      </c>
      <c r="I24">
        <v>299340</v>
      </c>
      <c r="J24">
        <v>5.54</v>
      </c>
      <c r="K24">
        <v>6.16</v>
      </c>
      <c r="P24">
        <v>5.7646779999999996E-3</v>
      </c>
      <c r="Q24">
        <v>6.3701829999999997E-3</v>
      </c>
      <c r="R24">
        <v>3.4009999999999999E-3</v>
      </c>
      <c r="S24">
        <v>2.091E-3</v>
      </c>
      <c r="T24">
        <v>2.2680000000000001E-3</v>
      </c>
      <c r="U24">
        <v>4.1729999999999996E-3</v>
      </c>
    </row>
    <row r="25" spans="2:21" x14ac:dyDescent="0.25">
      <c r="B25">
        <v>6062840</v>
      </c>
      <c r="C25">
        <v>6879924</v>
      </c>
      <c r="D25">
        <v>123822</v>
      </c>
      <c r="E25">
        <v>84598</v>
      </c>
      <c r="F25">
        <v>2264594</v>
      </c>
      <c r="G25">
        <v>2410296</v>
      </c>
      <c r="H25">
        <v>269062</v>
      </c>
      <c r="I25">
        <v>293944</v>
      </c>
      <c r="J25">
        <v>5.66</v>
      </c>
      <c r="K25">
        <v>6.25</v>
      </c>
      <c r="P25">
        <v>5.8447739999999996E-3</v>
      </c>
      <c r="Q25">
        <v>6.5067809999999997E-3</v>
      </c>
      <c r="R25">
        <v>3.8530000000000001E-3</v>
      </c>
      <c r="S25">
        <v>2.117E-3</v>
      </c>
      <c r="T25">
        <v>1.921E-3</v>
      </c>
      <c r="U25">
        <v>4.2420000000000001E-3</v>
      </c>
    </row>
    <row r="26" spans="2:21" x14ac:dyDescent="0.25">
      <c r="B26">
        <v>6005556</v>
      </c>
      <c r="C26">
        <v>6782980</v>
      </c>
      <c r="D26">
        <v>83594</v>
      </c>
      <c r="E26">
        <v>92992</v>
      </c>
      <c r="F26">
        <v>2532868</v>
      </c>
      <c r="G26">
        <v>2675310</v>
      </c>
      <c r="H26">
        <v>285888</v>
      </c>
      <c r="I26">
        <v>302494</v>
      </c>
      <c r="J26">
        <v>5.8</v>
      </c>
      <c r="K26">
        <v>6.5</v>
      </c>
      <c r="P26">
        <v>5.9912380000000003E-3</v>
      </c>
      <c r="Q26">
        <v>6.6923979999999996E-3</v>
      </c>
      <c r="R26">
        <v>2.3679999999999999E-3</v>
      </c>
      <c r="S26">
        <v>2.2030000000000001E-3</v>
      </c>
      <c r="T26">
        <v>3.5590000000000001E-3</v>
      </c>
      <c r="U26">
        <v>4.3860000000000001E-3</v>
      </c>
    </row>
    <row r="27" spans="2:21" x14ac:dyDescent="0.25">
      <c r="B27">
        <v>6186442</v>
      </c>
      <c r="C27">
        <v>6562694</v>
      </c>
      <c r="D27">
        <v>85486</v>
      </c>
      <c r="E27">
        <v>88884</v>
      </c>
      <c r="F27">
        <v>2250126</v>
      </c>
      <c r="G27">
        <v>2424678</v>
      </c>
      <c r="H27">
        <v>286684</v>
      </c>
      <c r="I27">
        <v>347226</v>
      </c>
      <c r="J27">
        <v>5.75</v>
      </c>
      <c r="K27">
        <v>6.22</v>
      </c>
      <c r="P27">
        <v>5.9352049999999998E-3</v>
      </c>
      <c r="Q27">
        <v>6.4224809999999998E-3</v>
      </c>
      <c r="R27">
        <v>3.9129999999999998E-3</v>
      </c>
      <c r="S27">
        <v>2.1080000000000001E-3</v>
      </c>
      <c r="T27">
        <v>1.9550000000000001E-3</v>
      </c>
      <c r="U27">
        <v>4.2050000000000004E-3</v>
      </c>
    </row>
    <row r="28" spans="2:21" x14ac:dyDescent="0.25">
      <c r="B28">
        <f>AVERAGE(B18:B27)</f>
        <v>6091303.2000000002</v>
      </c>
      <c r="C28">
        <f t="shared" ref="C28:U28" si="1">AVERAGE(C18:C27)</f>
        <v>6775107.5999999996</v>
      </c>
      <c r="D28">
        <f t="shared" si="1"/>
        <v>89842.6</v>
      </c>
      <c r="E28">
        <f t="shared" si="1"/>
        <v>88993.600000000006</v>
      </c>
      <c r="F28">
        <f t="shared" si="1"/>
        <v>2350864</v>
      </c>
      <c r="G28">
        <f t="shared" si="1"/>
        <v>3071499.8</v>
      </c>
      <c r="H28">
        <f t="shared" si="1"/>
        <v>277837.8</v>
      </c>
      <c r="I28">
        <f t="shared" si="1"/>
        <v>316351.2</v>
      </c>
      <c r="J28">
        <f t="shared" si="1"/>
        <v>5.742</v>
      </c>
      <c r="K28">
        <f t="shared" si="1"/>
        <v>6.641</v>
      </c>
      <c r="L28" t="e">
        <f t="shared" si="1"/>
        <v>#DIV/0!</v>
      </c>
      <c r="M28" t="e">
        <f t="shared" si="1"/>
        <v>#DIV/0!</v>
      </c>
      <c r="N28" t="e">
        <f t="shared" si="1"/>
        <v>#DIV/0!</v>
      </c>
      <c r="O28" t="e">
        <f t="shared" si="1"/>
        <v>#DIV/0!</v>
      </c>
      <c r="P28">
        <f t="shared" si="1"/>
        <v>5.9330337000000006E-3</v>
      </c>
      <c r="Q28">
        <f t="shared" si="1"/>
        <v>6.8541171999999999E-3</v>
      </c>
      <c r="R28">
        <f t="shared" si="1"/>
        <v>2.6991999999999997E-3</v>
      </c>
      <c r="S28">
        <f t="shared" si="1"/>
        <v>2.6178E-3</v>
      </c>
      <c r="T28">
        <f t="shared" si="1"/>
        <v>3.1676999999999999E-3</v>
      </c>
      <c r="U28">
        <f t="shared" si="1"/>
        <v>4.1219999999999998E-3</v>
      </c>
    </row>
    <row r="29" spans="2:21" x14ac:dyDescent="0.25">
      <c r="C29">
        <f>100*C28/B28</f>
        <v>111.22591303614635</v>
      </c>
      <c r="E29">
        <f>100*E28/D28</f>
        <v>99.055013991135596</v>
      </c>
      <c r="G29">
        <f>100*G28/F28</f>
        <v>130.65408292440566</v>
      </c>
      <c r="I29">
        <f>100*I28/H28</f>
        <v>113.86182873604672</v>
      </c>
      <c r="K29">
        <f>100*K28/J28</f>
        <v>115.65656565656566</v>
      </c>
      <c r="M29" t="e">
        <f>100*M28/L28</f>
        <v>#DIV/0!</v>
      </c>
      <c r="O29" t="e">
        <f>100*O28/N28</f>
        <v>#DIV/0!</v>
      </c>
      <c r="Q29">
        <f>100*Q28/P28</f>
        <v>115.52466320897518</v>
      </c>
      <c r="S29">
        <f>100*S28/R28</f>
        <v>96.984291641967999</v>
      </c>
      <c r="U29">
        <f>100*U28/T28</f>
        <v>130.12595889762287</v>
      </c>
    </row>
    <row r="32" spans="2:21" x14ac:dyDescent="0.25">
      <c r="E32">
        <v>1</v>
      </c>
    </row>
    <row r="33" spans="4:5" x14ac:dyDescent="0.25">
      <c r="D33" t="s">
        <v>122</v>
      </c>
      <c r="E33">
        <v>4</v>
      </c>
    </row>
    <row r="90" spans="1:21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  <c r="T90" t="s">
        <v>81</v>
      </c>
      <c r="U90" t="s">
        <v>82</v>
      </c>
    </row>
    <row r="91" spans="1:21" x14ac:dyDescent="0.25">
      <c r="B91" t="s">
        <v>112</v>
      </c>
      <c r="C91" t="s">
        <v>112</v>
      </c>
      <c r="D91" t="s">
        <v>92</v>
      </c>
      <c r="E91" t="s">
        <v>92</v>
      </c>
      <c r="F91" t="s">
        <v>83</v>
      </c>
      <c r="G91" t="s">
        <v>83</v>
      </c>
      <c r="H91" t="s">
        <v>84</v>
      </c>
      <c r="I91" t="s">
        <v>84</v>
      </c>
      <c r="J91" t="s">
        <v>85</v>
      </c>
      <c r="K91" t="s">
        <v>85</v>
      </c>
      <c r="L91" t="s">
        <v>86</v>
      </c>
      <c r="M91" t="s">
        <v>86</v>
      </c>
      <c r="N91" t="s">
        <v>87</v>
      </c>
      <c r="O91" t="s">
        <v>87</v>
      </c>
      <c r="P91" t="s">
        <v>88</v>
      </c>
      <c r="Q91" t="s">
        <v>88</v>
      </c>
      <c r="R91" t="s">
        <v>4</v>
      </c>
      <c r="S91" t="s">
        <v>4</v>
      </c>
      <c r="T91" t="s">
        <v>6</v>
      </c>
      <c r="U91" t="s">
        <v>6</v>
      </c>
    </row>
    <row r="92" spans="1:21" x14ac:dyDescent="0.25">
      <c r="B92">
        <v>32808476</v>
      </c>
      <c r="C92">
        <v>75425996</v>
      </c>
      <c r="F92">
        <v>78139206</v>
      </c>
      <c r="G92">
        <v>113252724</v>
      </c>
      <c r="H92">
        <v>1565276</v>
      </c>
      <c r="I92">
        <v>1792522</v>
      </c>
      <c r="J92">
        <v>57.3</v>
      </c>
      <c r="K92">
        <v>96.35</v>
      </c>
      <c r="P92">
        <v>5.7495934999999998E-2</v>
      </c>
      <c r="Q92">
        <v>9.6599790000000005E-2</v>
      </c>
      <c r="R92">
        <v>3.0949999999999998E-2</v>
      </c>
      <c r="S92">
        <v>5.6566999999999999E-2</v>
      </c>
      <c r="T92">
        <v>2.596E-2</v>
      </c>
      <c r="U92">
        <v>3.8689000000000001E-2</v>
      </c>
    </row>
    <row r="93" spans="1:21" x14ac:dyDescent="0.25">
      <c r="B93">
        <v>32792028</v>
      </c>
      <c r="C93">
        <v>75146374</v>
      </c>
      <c r="F93">
        <v>77901434</v>
      </c>
      <c r="G93">
        <v>107807890</v>
      </c>
      <c r="H93">
        <v>1574894</v>
      </c>
      <c r="I93">
        <v>1849716</v>
      </c>
      <c r="J93">
        <v>57.09</v>
      </c>
      <c r="K93">
        <v>93.5</v>
      </c>
      <c r="P93">
        <v>5.7321394999999997E-2</v>
      </c>
      <c r="Q93">
        <v>9.3727499000000006E-2</v>
      </c>
      <c r="R93">
        <v>2.6565999999999999E-2</v>
      </c>
      <c r="S93">
        <v>5.3094000000000002E-2</v>
      </c>
      <c r="T93">
        <v>3.0491999999999998E-2</v>
      </c>
      <c r="U93">
        <v>3.9287000000000002E-2</v>
      </c>
    </row>
    <row r="94" spans="1:21" x14ac:dyDescent="0.25">
      <c r="B94">
        <v>32378820</v>
      </c>
      <c r="C94">
        <v>75498950</v>
      </c>
      <c r="F94">
        <v>77832310</v>
      </c>
      <c r="G94">
        <v>112808708</v>
      </c>
      <c r="H94">
        <v>1525468</v>
      </c>
      <c r="I94">
        <v>1774704</v>
      </c>
      <c r="J94">
        <v>56.83</v>
      </c>
      <c r="K94">
        <v>96.13</v>
      </c>
      <c r="P94">
        <v>5.7034915999999998E-2</v>
      </c>
      <c r="Q94">
        <v>9.6332831999999993E-2</v>
      </c>
      <c r="R94">
        <v>3.2902000000000001E-2</v>
      </c>
      <c r="S94">
        <v>4.8383000000000002E-2</v>
      </c>
      <c r="T94">
        <v>2.3911000000000002E-2</v>
      </c>
      <c r="U94">
        <v>4.6366999999999998E-2</v>
      </c>
    </row>
    <row r="95" spans="1:21" x14ac:dyDescent="0.25">
      <c r="B95">
        <v>32398170</v>
      </c>
      <c r="C95">
        <v>74790842</v>
      </c>
      <c r="F95">
        <v>77451402</v>
      </c>
      <c r="G95">
        <v>113766086</v>
      </c>
      <c r="H95">
        <v>1562538</v>
      </c>
      <c r="I95">
        <v>1801478</v>
      </c>
      <c r="J95">
        <v>56.64</v>
      </c>
      <c r="K95">
        <v>96.27</v>
      </c>
      <c r="P95">
        <v>5.6841687000000002E-2</v>
      </c>
      <c r="Q95">
        <v>9.6478181999999996E-2</v>
      </c>
      <c r="R95">
        <v>3.1406000000000003E-2</v>
      </c>
      <c r="S95">
        <v>5.0291000000000002E-2</v>
      </c>
      <c r="T95">
        <v>2.453E-2</v>
      </c>
      <c r="U95">
        <v>4.5335E-2</v>
      </c>
    </row>
    <row r="96" spans="1:21" x14ac:dyDescent="0.25">
      <c r="B96">
        <v>32452824</v>
      </c>
      <c r="C96">
        <v>75002478</v>
      </c>
      <c r="F96">
        <v>75968568</v>
      </c>
      <c r="G96">
        <v>7874062</v>
      </c>
      <c r="H96">
        <v>1555406</v>
      </c>
      <c r="I96">
        <v>1819910</v>
      </c>
      <c r="J96">
        <v>55.93</v>
      </c>
      <c r="K96">
        <v>43.45</v>
      </c>
      <c r="P96">
        <v>5.6148410000000003E-2</v>
      </c>
      <c r="Q96">
        <v>4.3656462E-2</v>
      </c>
      <c r="R96">
        <v>3.0429000000000001E-2</v>
      </c>
      <c r="S96">
        <v>3.9110000000000004E-3</v>
      </c>
      <c r="T96">
        <v>2.5505E-2</v>
      </c>
      <c r="U96">
        <v>3.9155000000000002E-2</v>
      </c>
    </row>
    <row r="97" spans="2:21" x14ac:dyDescent="0.25">
      <c r="B97">
        <v>32377472</v>
      </c>
      <c r="C97">
        <v>75021546</v>
      </c>
      <c r="F97">
        <v>81472196</v>
      </c>
      <c r="G97">
        <v>110447422</v>
      </c>
      <c r="H97">
        <v>1562400</v>
      </c>
      <c r="I97">
        <v>1861300</v>
      </c>
      <c r="J97">
        <v>58.65</v>
      </c>
      <c r="K97">
        <v>94.77</v>
      </c>
      <c r="P97">
        <v>5.8846882000000003E-2</v>
      </c>
      <c r="Q97">
        <v>9.4991966999999997E-2</v>
      </c>
      <c r="R97">
        <v>3.5389999999999998E-2</v>
      </c>
      <c r="S97">
        <v>4.4631999999999998E-2</v>
      </c>
      <c r="T97">
        <v>2.3248999999999999E-2</v>
      </c>
      <c r="U97">
        <v>4.9557999999999998E-2</v>
      </c>
    </row>
    <row r="98" spans="2:21" x14ac:dyDescent="0.25">
      <c r="B98">
        <v>32301096</v>
      </c>
      <c r="C98">
        <v>75431942</v>
      </c>
      <c r="F98">
        <v>83861290</v>
      </c>
      <c r="G98">
        <v>108460468</v>
      </c>
      <c r="H98">
        <v>1537442</v>
      </c>
      <c r="I98">
        <v>1831112</v>
      </c>
      <c r="J98">
        <v>59.82</v>
      </c>
      <c r="K98">
        <v>93.95</v>
      </c>
      <c r="P98">
        <v>6.0015941000000003E-2</v>
      </c>
      <c r="Q98">
        <v>9.4178375999999994E-2</v>
      </c>
      <c r="R98">
        <v>3.3606999999999998E-2</v>
      </c>
      <c r="S98">
        <v>5.0325000000000002E-2</v>
      </c>
      <c r="T98">
        <v>2.5684999999999999E-2</v>
      </c>
      <c r="U98">
        <v>4.2394000000000001E-2</v>
      </c>
    </row>
    <row r="99" spans="2:21" x14ac:dyDescent="0.25">
      <c r="B99">
        <v>32352176</v>
      </c>
      <c r="C99">
        <v>75329816</v>
      </c>
      <c r="F99">
        <v>77619794</v>
      </c>
      <c r="G99">
        <v>114455682</v>
      </c>
      <c r="H99">
        <v>1587612</v>
      </c>
      <c r="I99">
        <v>1797462</v>
      </c>
      <c r="J99">
        <v>56.74</v>
      </c>
      <c r="K99">
        <v>96.87</v>
      </c>
      <c r="P99">
        <v>5.6923614999999997E-2</v>
      </c>
      <c r="Q99">
        <v>9.7120489000000004E-2</v>
      </c>
      <c r="R99">
        <v>2.7552E-2</v>
      </c>
      <c r="S99">
        <v>5.1251999999999999E-2</v>
      </c>
      <c r="T99">
        <v>2.8518999999999999E-2</v>
      </c>
      <c r="U99">
        <v>4.4327999999999999E-2</v>
      </c>
    </row>
    <row r="100" spans="2:21" x14ac:dyDescent="0.25">
      <c r="B100">
        <v>32263348</v>
      </c>
      <c r="C100">
        <v>74280586</v>
      </c>
      <c r="F100">
        <v>76155768</v>
      </c>
      <c r="G100">
        <v>110688938</v>
      </c>
      <c r="H100">
        <v>1615818</v>
      </c>
      <c r="I100">
        <v>1815602</v>
      </c>
      <c r="J100">
        <v>55.96</v>
      </c>
      <c r="K100">
        <v>94.5</v>
      </c>
      <c r="P100">
        <v>5.6173410999999999E-2</v>
      </c>
      <c r="Q100">
        <v>9.4699939999999996E-2</v>
      </c>
      <c r="R100">
        <v>3.5947E-2</v>
      </c>
      <c r="S100">
        <v>5.6604000000000002E-2</v>
      </c>
      <c r="T100">
        <v>1.9963000000000002E-2</v>
      </c>
      <c r="U100">
        <v>3.6717E-2</v>
      </c>
    </row>
    <row r="101" spans="2:21" x14ac:dyDescent="0.25">
      <c r="B101">
        <v>32454214</v>
      </c>
      <c r="C101">
        <v>74375800</v>
      </c>
      <c r="F101">
        <v>80027990</v>
      </c>
      <c r="G101">
        <v>103646238</v>
      </c>
      <c r="H101">
        <v>1558608</v>
      </c>
      <c r="I101">
        <v>1811776</v>
      </c>
      <c r="J101">
        <v>57.99</v>
      </c>
      <c r="K101">
        <v>91.02</v>
      </c>
      <c r="P101">
        <v>5.8183062000000001E-2</v>
      </c>
      <c r="Q101">
        <v>9.1295791000000001E-2</v>
      </c>
      <c r="R101">
        <v>3.3625000000000002E-2</v>
      </c>
      <c r="S101">
        <v>5.0389000000000003E-2</v>
      </c>
      <c r="T101">
        <v>2.3720999999999999E-2</v>
      </c>
      <c r="U101">
        <v>3.9490999999999998E-2</v>
      </c>
    </row>
    <row r="102" spans="2:21" x14ac:dyDescent="0.25">
      <c r="B102">
        <f>AVERAGE(B92:B101)</f>
        <v>32457862.399999999</v>
      </c>
      <c r="C102">
        <f t="shared" ref="C102:U102" si="2">AVERAGE(C92:C101)</f>
        <v>75030433</v>
      </c>
      <c r="D102" t="e">
        <f t="shared" si="2"/>
        <v>#DIV/0!</v>
      </c>
      <c r="E102" t="e">
        <f t="shared" si="2"/>
        <v>#DIV/0!</v>
      </c>
      <c r="F102">
        <f t="shared" si="2"/>
        <v>78642995.799999997</v>
      </c>
      <c r="G102">
        <f t="shared" si="2"/>
        <v>100320821.8</v>
      </c>
      <c r="H102">
        <f t="shared" si="2"/>
        <v>1564546.2</v>
      </c>
      <c r="I102">
        <f t="shared" si="2"/>
        <v>1815558.2</v>
      </c>
      <c r="J102">
        <f t="shared" si="2"/>
        <v>57.295000000000002</v>
      </c>
      <c r="K102">
        <f t="shared" si="2"/>
        <v>89.681000000000012</v>
      </c>
      <c r="L102" t="e">
        <f t="shared" si="2"/>
        <v>#DIV/0!</v>
      </c>
      <c r="M102" t="e">
        <f t="shared" si="2"/>
        <v>#DIV/0!</v>
      </c>
      <c r="N102" t="e">
        <f t="shared" si="2"/>
        <v>#DIV/0!</v>
      </c>
      <c r="O102" t="e">
        <f t="shared" si="2"/>
        <v>#DIV/0!</v>
      </c>
      <c r="P102">
        <f t="shared" si="2"/>
        <v>5.74985254E-2</v>
      </c>
      <c r="Q102">
        <f t="shared" si="2"/>
        <v>8.9908132799999999E-2</v>
      </c>
      <c r="R102">
        <f t="shared" si="2"/>
        <v>3.1837400000000002E-2</v>
      </c>
      <c r="S102">
        <f t="shared" si="2"/>
        <v>4.6544800000000004E-2</v>
      </c>
      <c r="T102">
        <f t="shared" si="2"/>
        <v>2.5153500000000002E-2</v>
      </c>
      <c r="U102">
        <f t="shared" si="2"/>
        <v>4.2132099999999992E-2</v>
      </c>
    </row>
    <row r="103" spans="2:21" x14ac:dyDescent="0.25">
      <c r="C103">
        <f>100*C102/B102</f>
        <v>231.16258265978723</v>
      </c>
      <c r="E103" t="e">
        <f>100*E102/D102</f>
        <v>#DIV/0!</v>
      </c>
      <c r="G103">
        <f>100*G102/F102</f>
        <v>127.56485276213245</v>
      </c>
      <c r="I103">
        <f>100*I102/H102</f>
        <v>116.04375760843624</v>
      </c>
      <c r="K103">
        <f>100*K102/J102</f>
        <v>156.52500218169124</v>
      </c>
      <c r="M103" t="e">
        <f>100*M102/L102</f>
        <v>#DIV/0!</v>
      </c>
      <c r="O103" t="e">
        <f>100*O102/N102</f>
        <v>#DIV/0!</v>
      </c>
      <c r="Q103">
        <f>100*Q102/P102</f>
        <v>156.36598012650947</v>
      </c>
      <c r="S103">
        <f>100*S102/R102</f>
        <v>146.19535514834755</v>
      </c>
      <c r="U103">
        <f>100*U102/T102</f>
        <v>167.49995030512648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AEF11-8FC6-462C-A17B-69B6072B91EB}">
  <dimension ref="A1:AC103"/>
  <sheetViews>
    <sheetView topLeftCell="A75" workbookViewId="0">
      <selection activeCell="A106" sqref="A106"/>
    </sheetView>
  </sheetViews>
  <sheetFormatPr defaultRowHeight="15" x14ac:dyDescent="0.25"/>
  <cols>
    <col min="3" max="3" width="10" bestFit="1" customWidth="1"/>
  </cols>
  <sheetData>
    <row r="1" spans="1:29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  <c r="T1" t="s">
        <v>81</v>
      </c>
      <c r="U1" t="s">
        <v>82</v>
      </c>
      <c r="V1" t="s">
        <v>81</v>
      </c>
      <c r="W1" t="s">
        <v>82</v>
      </c>
      <c r="X1" t="s">
        <v>81</v>
      </c>
      <c r="Y1" t="s">
        <v>82</v>
      </c>
      <c r="Z1" t="s">
        <v>81</v>
      </c>
      <c r="AA1" t="s">
        <v>82</v>
      </c>
      <c r="AB1" t="s">
        <v>81</v>
      </c>
      <c r="AC1" t="s">
        <v>82</v>
      </c>
    </row>
    <row r="2" spans="1:29" x14ac:dyDescent="0.25">
      <c r="B2" t="s">
        <v>112</v>
      </c>
      <c r="C2" t="s">
        <v>112</v>
      </c>
      <c r="D2" t="s">
        <v>93</v>
      </c>
      <c r="E2" t="s">
        <v>93</v>
      </c>
      <c r="F2" t="s">
        <v>94</v>
      </c>
      <c r="G2" t="s">
        <v>94</v>
      </c>
      <c r="H2" t="s">
        <v>95</v>
      </c>
      <c r="I2" t="s">
        <v>95</v>
      </c>
      <c r="J2" t="s">
        <v>96</v>
      </c>
      <c r="K2" t="s">
        <v>96</v>
      </c>
      <c r="L2" t="s">
        <v>97</v>
      </c>
      <c r="M2" t="s">
        <v>97</v>
      </c>
      <c r="N2" t="s">
        <v>98</v>
      </c>
      <c r="O2" t="s">
        <v>98</v>
      </c>
      <c r="P2" t="s">
        <v>84</v>
      </c>
      <c r="Q2" t="s">
        <v>84</v>
      </c>
      <c r="R2" t="s">
        <v>85</v>
      </c>
      <c r="S2" t="s">
        <v>85</v>
      </c>
      <c r="T2" t="s">
        <v>86</v>
      </c>
      <c r="U2" t="s">
        <v>86</v>
      </c>
      <c r="V2" t="s">
        <v>87</v>
      </c>
      <c r="W2" t="s">
        <v>87</v>
      </c>
      <c r="X2" t="s">
        <v>88</v>
      </c>
      <c r="Y2" t="s">
        <v>88</v>
      </c>
      <c r="Z2" t="s">
        <v>4</v>
      </c>
      <c r="AA2" t="s">
        <v>4</v>
      </c>
      <c r="AB2" t="s">
        <v>6</v>
      </c>
      <c r="AC2" t="s">
        <v>6</v>
      </c>
    </row>
    <row r="3" spans="1:29" x14ac:dyDescent="0.25">
      <c r="B3">
        <v>47313418</v>
      </c>
      <c r="C3">
        <v>101119184</v>
      </c>
      <c r="D3">
        <v>2061492</v>
      </c>
      <c r="E3">
        <v>3080464</v>
      </c>
      <c r="F3">
        <v>2598546</v>
      </c>
      <c r="G3">
        <v>2556512</v>
      </c>
      <c r="H3">
        <v>1297674</v>
      </c>
      <c r="I3">
        <v>1307904</v>
      </c>
      <c r="J3">
        <v>10290</v>
      </c>
      <c r="K3">
        <v>18088</v>
      </c>
      <c r="L3">
        <v>77722</v>
      </c>
      <c r="M3">
        <v>135340</v>
      </c>
      <c r="N3">
        <v>20714</v>
      </c>
      <c r="O3">
        <v>51212</v>
      </c>
      <c r="P3">
        <v>2001540</v>
      </c>
      <c r="Q3">
        <v>2369976</v>
      </c>
      <c r="R3">
        <v>28.76</v>
      </c>
      <c r="S3">
        <v>56.51</v>
      </c>
      <c r="T3">
        <v>8</v>
      </c>
      <c r="U3">
        <v>9</v>
      </c>
      <c r="V3">
        <v>603</v>
      </c>
      <c r="W3">
        <v>592</v>
      </c>
      <c r="X3">
        <v>2.8916164000000001E-2</v>
      </c>
      <c r="Y3">
        <v>5.6683576999999999E-2</v>
      </c>
      <c r="Z3">
        <v>5.1450000000000003E-3</v>
      </c>
      <c r="AA3">
        <v>7.0219999999999996E-3</v>
      </c>
      <c r="AB3">
        <v>2.3684E-2</v>
      </c>
      <c r="AC3">
        <v>4.9173000000000001E-2</v>
      </c>
    </row>
    <row r="4" spans="1:29" x14ac:dyDescent="0.25">
      <c r="B4">
        <v>47146274</v>
      </c>
      <c r="C4">
        <v>102147138</v>
      </c>
      <c r="D4">
        <v>2063806</v>
      </c>
      <c r="E4">
        <v>3077192</v>
      </c>
      <c r="F4">
        <v>2594350</v>
      </c>
      <c r="G4">
        <v>2544338</v>
      </c>
      <c r="H4">
        <v>1291136</v>
      </c>
      <c r="I4">
        <v>1329748</v>
      </c>
      <c r="J4">
        <v>10544</v>
      </c>
      <c r="K4">
        <v>17586</v>
      </c>
      <c r="L4">
        <v>78730</v>
      </c>
      <c r="M4">
        <v>134436</v>
      </c>
      <c r="N4">
        <v>21540</v>
      </c>
      <c r="O4">
        <v>49496</v>
      </c>
      <c r="P4">
        <v>1950146</v>
      </c>
      <c r="Q4">
        <v>2379410</v>
      </c>
      <c r="R4">
        <v>28.62</v>
      </c>
      <c r="S4">
        <v>57</v>
      </c>
      <c r="T4">
        <v>8</v>
      </c>
      <c r="U4">
        <v>8</v>
      </c>
      <c r="V4">
        <v>604</v>
      </c>
      <c r="W4">
        <v>595</v>
      </c>
      <c r="X4">
        <v>2.8781790000000002E-2</v>
      </c>
      <c r="Y4">
        <v>5.7195098E-2</v>
      </c>
      <c r="Z4">
        <v>5.1190000000000003E-3</v>
      </c>
      <c r="AA4">
        <v>7.9600000000000001E-3</v>
      </c>
      <c r="AB4">
        <v>2.3569E-2</v>
      </c>
      <c r="AC4">
        <v>4.8777000000000001E-2</v>
      </c>
    </row>
    <row r="5" spans="1:29" x14ac:dyDescent="0.25">
      <c r="B5">
        <v>46978924</v>
      </c>
      <c r="C5">
        <v>101456054</v>
      </c>
      <c r="D5">
        <v>2064154</v>
      </c>
      <c r="E5">
        <v>3019434</v>
      </c>
      <c r="F5">
        <v>2486636</v>
      </c>
      <c r="G5">
        <v>2538072</v>
      </c>
      <c r="H5">
        <v>1296446</v>
      </c>
      <c r="I5">
        <v>1297546</v>
      </c>
      <c r="J5">
        <v>10218</v>
      </c>
      <c r="K5">
        <v>17478</v>
      </c>
      <c r="L5">
        <v>78842</v>
      </c>
      <c r="M5">
        <v>131022</v>
      </c>
      <c r="N5">
        <v>21562</v>
      </c>
      <c r="O5">
        <v>48244</v>
      </c>
      <c r="P5">
        <v>2028248</v>
      </c>
      <c r="Q5">
        <v>2439370</v>
      </c>
      <c r="R5">
        <v>28.5</v>
      </c>
      <c r="S5">
        <v>56.64</v>
      </c>
      <c r="T5">
        <v>9</v>
      </c>
      <c r="U5">
        <v>9</v>
      </c>
      <c r="V5">
        <v>603</v>
      </c>
      <c r="W5">
        <v>594</v>
      </c>
      <c r="X5">
        <v>2.8706308999999999E-2</v>
      </c>
      <c r="Y5">
        <v>5.6811186999999999E-2</v>
      </c>
      <c r="Z5">
        <v>5.9069999999999999E-3</v>
      </c>
      <c r="AA5">
        <v>8.0470000000000003E-3</v>
      </c>
      <c r="AB5">
        <v>2.2662000000000002E-2</v>
      </c>
      <c r="AC5">
        <v>4.8315999999999998E-2</v>
      </c>
    </row>
    <row r="6" spans="1:29" x14ac:dyDescent="0.25">
      <c r="B6">
        <v>47042330</v>
      </c>
      <c r="C6">
        <v>101385074</v>
      </c>
      <c r="D6">
        <v>2064224</v>
      </c>
      <c r="E6">
        <v>3322606</v>
      </c>
      <c r="F6">
        <v>2563042</v>
      </c>
      <c r="G6">
        <v>2490906</v>
      </c>
      <c r="H6">
        <v>1311548</v>
      </c>
      <c r="I6">
        <v>1286952</v>
      </c>
      <c r="J6">
        <v>10090</v>
      </c>
      <c r="K6">
        <v>17694</v>
      </c>
      <c r="L6">
        <v>79116</v>
      </c>
      <c r="M6">
        <v>136054</v>
      </c>
      <c r="N6">
        <v>21192</v>
      </c>
      <c r="O6">
        <v>50312</v>
      </c>
      <c r="P6">
        <v>2178246</v>
      </c>
      <c r="Q6">
        <v>2426320</v>
      </c>
      <c r="R6">
        <v>28.7</v>
      </c>
      <c r="S6">
        <v>56.78</v>
      </c>
      <c r="T6">
        <v>8</v>
      </c>
      <c r="U6">
        <v>9</v>
      </c>
      <c r="V6">
        <v>604</v>
      </c>
      <c r="W6">
        <v>592</v>
      </c>
      <c r="X6">
        <v>2.8852526999999999E-2</v>
      </c>
      <c r="Y6">
        <v>5.6959635000000002E-2</v>
      </c>
      <c r="Z6">
        <v>4.1019999999999997E-3</v>
      </c>
      <c r="AA6">
        <v>7.9120000000000006E-3</v>
      </c>
      <c r="AB6">
        <v>2.4649999999999998E-2</v>
      </c>
      <c r="AC6">
        <v>4.8486000000000001E-2</v>
      </c>
    </row>
    <row r="7" spans="1:29" x14ac:dyDescent="0.25">
      <c r="B7">
        <v>47241902</v>
      </c>
      <c r="C7">
        <v>100975814</v>
      </c>
      <c r="D7">
        <v>2050826</v>
      </c>
      <c r="E7">
        <v>3025574</v>
      </c>
      <c r="F7">
        <v>2546326</v>
      </c>
      <c r="G7">
        <v>2445068</v>
      </c>
      <c r="H7">
        <v>1348434</v>
      </c>
      <c r="I7">
        <v>1393622</v>
      </c>
      <c r="J7">
        <v>10472</v>
      </c>
      <c r="K7">
        <v>18596</v>
      </c>
      <c r="L7">
        <v>75588</v>
      </c>
      <c r="M7">
        <v>139324</v>
      </c>
      <c r="N7">
        <v>20600</v>
      </c>
      <c r="O7">
        <v>51556</v>
      </c>
      <c r="P7">
        <v>1992368</v>
      </c>
      <c r="Q7">
        <v>2380102</v>
      </c>
      <c r="R7">
        <v>28.65</v>
      </c>
      <c r="S7">
        <v>56.4</v>
      </c>
      <c r="T7">
        <v>9</v>
      </c>
      <c r="U7">
        <v>9</v>
      </c>
      <c r="V7">
        <v>604</v>
      </c>
      <c r="W7">
        <v>592</v>
      </c>
      <c r="X7">
        <v>2.8839825999999999E-2</v>
      </c>
      <c r="Y7">
        <v>5.656986E-2</v>
      </c>
      <c r="Z7">
        <v>5.1240000000000001E-3</v>
      </c>
      <c r="AA7">
        <v>5.0090000000000004E-3</v>
      </c>
      <c r="AB7">
        <v>2.3591999999999998E-2</v>
      </c>
      <c r="AC7">
        <v>5.1139999999999998E-2</v>
      </c>
    </row>
    <row r="8" spans="1:29" x14ac:dyDescent="0.25">
      <c r="B8">
        <v>46883118</v>
      </c>
      <c r="C8">
        <v>100706512</v>
      </c>
      <c r="D8">
        <v>2073122</v>
      </c>
      <c r="E8">
        <v>3041242</v>
      </c>
      <c r="F8">
        <v>2569510</v>
      </c>
      <c r="G8">
        <v>2449114</v>
      </c>
      <c r="H8">
        <v>1289728</v>
      </c>
      <c r="I8">
        <v>1342016</v>
      </c>
      <c r="J8">
        <v>10448</v>
      </c>
      <c r="K8">
        <v>18644</v>
      </c>
      <c r="L8">
        <v>86100</v>
      </c>
      <c r="M8">
        <v>139180</v>
      </c>
      <c r="N8">
        <v>21602</v>
      </c>
      <c r="O8">
        <v>51774</v>
      </c>
      <c r="P8">
        <v>2011168</v>
      </c>
      <c r="Q8">
        <v>2403012</v>
      </c>
      <c r="R8">
        <v>28.54</v>
      </c>
      <c r="S8">
        <v>56.25</v>
      </c>
      <c r="T8">
        <v>8</v>
      </c>
      <c r="U8">
        <v>11</v>
      </c>
      <c r="V8">
        <v>605</v>
      </c>
      <c r="W8">
        <v>593</v>
      </c>
      <c r="X8">
        <v>2.8697752999999999E-2</v>
      </c>
      <c r="Y8">
        <v>5.6421994000000003E-2</v>
      </c>
      <c r="Z8">
        <v>8.1700000000000002E-3</v>
      </c>
      <c r="AA8">
        <v>6.9880000000000003E-3</v>
      </c>
      <c r="AB8">
        <v>2.0431999999999999E-2</v>
      </c>
      <c r="AC8">
        <v>4.8961999999999999E-2</v>
      </c>
    </row>
    <row r="9" spans="1:29" x14ac:dyDescent="0.25">
      <c r="B9">
        <v>47062940</v>
      </c>
      <c r="C9">
        <v>101119004</v>
      </c>
      <c r="D9">
        <v>2069736</v>
      </c>
      <c r="E9">
        <v>3056014</v>
      </c>
      <c r="F9">
        <v>2483352</v>
      </c>
      <c r="G9">
        <v>2553086</v>
      </c>
      <c r="H9">
        <v>1340186</v>
      </c>
      <c r="I9">
        <v>1309018</v>
      </c>
      <c r="J9">
        <v>10704</v>
      </c>
      <c r="K9">
        <v>17784</v>
      </c>
      <c r="L9">
        <v>82976</v>
      </c>
      <c r="M9">
        <v>134224</v>
      </c>
      <c r="N9">
        <v>22382</v>
      </c>
      <c r="O9">
        <v>50482</v>
      </c>
      <c r="P9">
        <v>2109396</v>
      </c>
      <c r="Q9">
        <v>2384678</v>
      </c>
      <c r="R9">
        <v>28.61</v>
      </c>
      <c r="S9">
        <v>56.49</v>
      </c>
      <c r="T9">
        <v>9</v>
      </c>
      <c r="U9">
        <v>9</v>
      </c>
      <c r="V9">
        <v>603</v>
      </c>
      <c r="W9">
        <v>594</v>
      </c>
      <c r="X9">
        <v>2.8773241000000001E-2</v>
      </c>
      <c r="Y9">
        <v>5.6717834000000002E-2</v>
      </c>
      <c r="Z9">
        <v>5.9259999999999998E-3</v>
      </c>
      <c r="AA9">
        <v>9.0299999999999998E-3</v>
      </c>
      <c r="AB9">
        <v>2.2734000000000001E-2</v>
      </c>
      <c r="AC9">
        <v>4.718E-2</v>
      </c>
    </row>
    <row r="10" spans="1:29" x14ac:dyDescent="0.25">
      <c r="B10">
        <v>47244708</v>
      </c>
      <c r="C10">
        <v>101028918</v>
      </c>
      <c r="D10">
        <v>2062920</v>
      </c>
      <c r="E10">
        <v>3092906</v>
      </c>
      <c r="F10">
        <v>2563274</v>
      </c>
      <c r="G10">
        <v>2441166</v>
      </c>
      <c r="H10">
        <v>1320068</v>
      </c>
      <c r="I10">
        <v>1328222</v>
      </c>
      <c r="J10">
        <v>10072</v>
      </c>
      <c r="K10">
        <v>17618</v>
      </c>
      <c r="L10">
        <v>78718</v>
      </c>
      <c r="M10">
        <v>132676</v>
      </c>
      <c r="N10">
        <v>21768</v>
      </c>
      <c r="O10">
        <v>48970</v>
      </c>
      <c r="P10">
        <v>2144342</v>
      </c>
      <c r="Q10">
        <v>2415508</v>
      </c>
      <c r="R10">
        <v>28.74</v>
      </c>
      <c r="S10">
        <v>56.46</v>
      </c>
      <c r="T10">
        <v>9</v>
      </c>
      <c r="U10">
        <v>10</v>
      </c>
      <c r="V10">
        <v>603</v>
      </c>
      <c r="W10">
        <v>592</v>
      </c>
      <c r="X10">
        <v>2.8950158E-2</v>
      </c>
      <c r="Y10">
        <v>5.6632057E-2</v>
      </c>
      <c r="Z10">
        <v>4.9620000000000003E-3</v>
      </c>
      <c r="AA10">
        <v>5.0169999999999998E-3</v>
      </c>
      <c r="AB10">
        <v>2.3834999999999999E-2</v>
      </c>
      <c r="AC10">
        <v>5.1172000000000002E-2</v>
      </c>
    </row>
    <row r="11" spans="1:29" x14ac:dyDescent="0.25">
      <c r="B11">
        <v>47114850</v>
      </c>
      <c r="C11">
        <v>100833520</v>
      </c>
      <c r="D11">
        <v>2080318</v>
      </c>
      <c r="E11">
        <v>3130058</v>
      </c>
      <c r="F11">
        <v>2584938</v>
      </c>
      <c r="G11">
        <v>2445812</v>
      </c>
      <c r="H11">
        <v>1297188</v>
      </c>
      <c r="I11">
        <v>1325256</v>
      </c>
      <c r="J11">
        <v>10134</v>
      </c>
      <c r="K11">
        <v>17750</v>
      </c>
      <c r="L11">
        <v>78480</v>
      </c>
      <c r="M11">
        <v>136658</v>
      </c>
      <c r="N11">
        <v>21360</v>
      </c>
      <c r="O11">
        <v>51480</v>
      </c>
      <c r="P11">
        <v>2042918</v>
      </c>
      <c r="Q11">
        <v>2419474</v>
      </c>
      <c r="R11">
        <v>28.67</v>
      </c>
      <c r="S11">
        <v>56.35</v>
      </c>
      <c r="T11">
        <v>8</v>
      </c>
      <c r="U11">
        <v>9</v>
      </c>
      <c r="V11">
        <v>604</v>
      </c>
      <c r="W11">
        <v>593</v>
      </c>
      <c r="X11">
        <v>2.8823174999999999E-2</v>
      </c>
      <c r="Y11">
        <v>5.6526556999999998E-2</v>
      </c>
      <c r="Z11">
        <v>5.1260000000000003E-3</v>
      </c>
      <c r="AA11">
        <v>7.8720000000000005E-3</v>
      </c>
      <c r="AB11">
        <v>2.3604E-2</v>
      </c>
      <c r="AC11">
        <v>4.8225999999999998E-2</v>
      </c>
    </row>
    <row r="12" spans="1:29" x14ac:dyDescent="0.25">
      <c r="B12">
        <v>47001810</v>
      </c>
      <c r="C12">
        <v>100948468</v>
      </c>
      <c r="D12">
        <v>2073800</v>
      </c>
      <c r="E12">
        <v>3115750</v>
      </c>
      <c r="F12">
        <v>2493520</v>
      </c>
      <c r="G12">
        <v>2517096</v>
      </c>
      <c r="H12">
        <v>1314290</v>
      </c>
      <c r="I12">
        <v>1284992</v>
      </c>
      <c r="J12">
        <v>10292</v>
      </c>
      <c r="K12">
        <v>17530</v>
      </c>
      <c r="L12">
        <v>79134</v>
      </c>
      <c r="M12">
        <v>133168</v>
      </c>
      <c r="N12">
        <v>21194</v>
      </c>
      <c r="O12">
        <v>49454</v>
      </c>
      <c r="P12">
        <v>2118588</v>
      </c>
      <c r="Q12">
        <v>2445484</v>
      </c>
      <c r="R12">
        <v>28.55</v>
      </c>
      <c r="S12">
        <v>56.42</v>
      </c>
      <c r="T12">
        <v>9</v>
      </c>
      <c r="U12">
        <v>8</v>
      </c>
      <c r="V12">
        <v>602</v>
      </c>
      <c r="W12">
        <v>592</v>
      </c>
      <c r="X12">
        <v>2.8742027999999999E-2</v>
      </c>
      <c r="Y12">
        <v>5.6596497000000003E-2</v>
      </c>
      <c r="Z12">
        <v>3.9240000000000004E-3</v>
      </c>
      <c r="AA12">
        <v>8.8640000000000004E-3</v>
      </c>
      <c r="AB12">
        <v>2.4518999999999999E-2</v>
      </c>
      <c r="AC12">
        <v>4.7314000000000002E-2</v>
      </c>
    </row>
    <row r="13" spans="1:29" x14ac:dyDescent="0.25">
      <c r="B13">
        <f>AVERAGE(B3:B12)</f>
        <v>47103027.399999999</v>
      </c>
      <c r="C13">
        <f t="shared" ref="C13:AC13" si="0">AVERAGE(C3:C12)</f>
        <v>101171968.59999999</v>
      </c>
      <c r="D13">
        <f t="shared" si="0"/>
        <v>2066439.8</v>
      </c>
      <c r="E13">
        <f t="shared" si="0"/>
        <v>3096124</v>
      </c>
      <c r="F13">
        <f t="shared" si="0"/>
        <v>2548349.4</v>
      </c>
      <c r="G13">
        <f t="shared" si="0"/>
        <v>2498117</v>
      </c>
      <c r="H13">
        <f t="shared" si="0"/>
        <v>1310669.8</v>
      </c>
      <c r="I13">
        <f t="shared" si="0"/>
        <v>1320527.6000000001</v>
      </c>
      <c r="J13">
        <f t="shared" si="0"/>
        <v>10326.4</v>
      </c>
      <c r="K13">
        <f t="shared" si="0"/>
        <v>17876.8</v>
      </c>
      <c r="L13">
        <f t="shared" si="0"/>
        <v>79540.600000000006</v>
      </c>
      <c r="M13">
        <f t="shared" si="0"/>
        <v>135208.20000000001</v>
      </c>
      <c r="N13">
        <f t="shared" si="0"/>
        <v>21391.4</v>
      </c>
      <c r="O13">
        <f t="shared" si="0"/>
        <v>50298</v>
      </c>
      <c r="P13">
        <f t="shared" si="0"/>
        <v>2057696</v>
      </c>
      <c r="Q13">
        <f t="shared" si="0"/>
        <v>2406333.4</v>
      </c>
      <c r="R13">
        <f t="shared" si="0"/>
        <v>28.634000000000004</v>
      </c>
      <c r="S13">
        <f t="shared" si="0"/>
        <v>56.529999999999994</v>
      </c>
      <c r="T13">
        <f t="shared" si="0"/>
        <v>8.5</v>
      </c>
      <c r="U13">
        <f t="shared" si="0"/>
        <v>9.1</v>
      </c>
      <c r="V13">
        <f t="shared" si="0"/>
        <v>603.5</v>
      </c>
      <c r="W13">
        <f t="shared" si="0"/>
        <v>592.9</v>
      </c>
      <c r="X13">
        <f t="shared" si="0"/>
        <v>2.8808297099999998E-2</v>
      </c>
      <c r="Y13">
        <f t="shared" si="0"/>
        <v>5.6711429600000009E-2</v>
      </c>
      <c r="Z13">
        <f t="shared" si="0"/>
        <v>5.3504999999999994E-3</v>
      </c>
      <c r="AA13">
        <f t="shared" si="0"/>
        <v>7.3720999999999995E-3</v>
      </c>
      <c r="AB13">
        <f t="shared" si="0"/>
        <v>2.3328100000000001E-2</v>
      </c>
      <c r="AC13">
        <f t="shared" si="0"/>
        <v>4.8874600000000004E-2</v>
      </c>
    </row>
    <row r="14" spans="1:29" x14ac:dyDescent="0.25">
      <c r="C14">
        <f>100*C13/B13</f>
        <v>214.78867534531338</v>
      </c>
      <c r="D14">
        <f>AVERAGE(E14:O14)</f>
        <v>154.47426051772064</v>
      </c>
      <c r="E14">
        <f>100*E13/D13</f>
        <v>149.82889895945675</v>
      </c>
      <c r="G14">
        <f>100*G13/F13</f>
        <v>98.028826031469634</v>
      </c>
      <c r="I14">
        <f>100*I13/H13</f>
        <v>100.75211925993871</v>
      </c>
      <c r="K14">
        <f>100*K13/J13</f>
        <v>173.11744654477843</v>
      </c>
      <c r="M14">
        <f>100*M13/L13</f>
        <v>169.98639688410699</v>
      </c>
      <c r="O14">
        <f>100*O13/N13</f>
        <v>235.13187542657329</v>
      </c>
      <c r="Q14">
        <f>100*Q13/P13</f>
        <v>116.94309557874438</v>
      </c>
      <c r="S14">
        <f>100*S13/R13</f>
        <v>197.42264440874479</v>
      </c>
      <c r="U14">
        <f>100*U13/T13</f>
        <v>107.05882352941177</v>
      </c>
      <c r="W14">
        <f>100*W13/V13</f>
        <v>98.243579121789566</v>
      </c>
      <c r="Y14">
        <f>100*Y13/X13</f>
        <v>196.85797255957908</v>
      </c>
      <c r="AA14">
        <f>100*AA13/Z13</f>
        <v>137.78338473039904</v>
      </c>
      <c r="AC14">
        <f>100*AC13/AB13</f>
        <v>209.5095614302065</v>
      </c>
    </row>
    <row r="17" spans="1:29" x14ac:dyDescent="0.25">
      <c r="A17" t="s">
        <v>107</v>
      </c>
      <c r="B17" t="s">
        <v>81</v>
      </c>
      <c r="C17" t="s">
        <v>82</v>
      </c>
      <c r="D17" t="s">
        <v>81</v>
      </c>
      <c r="E17" t="s">
        <v>82</v>
      </c>
      <c r="F17" t="s">
        <v>81</v>
      </c>
      <c r="G17" t="s">
        <v>82</v>
      </c>
      <c r="H17" t="s">
        <v>81</v>
      </c>
      <c r="I17" t="s">
        <v>82</v>
      </c>
      <c r="J17" t="s">
        <v>81</v>
      </c>
      <c r="K17" t="s">
        <v>82</v>
      </c>
      <c r="L17" t="s">
        <v>81</v>
      </c>
      <c r="M17" t="s">
        <v>82</v>
      </c>
      <c r="N17" t="s">
        <v>81</v>
      </c>
      <c r="O17" t="s">
        <v>82</v>
      </c>
      <c r="P17" t="s">
        <v>81</v>
      </c>
      <c r="Q17" t="s">
        <v>82</v>
      </c>
      <c r="R17" t="s">
        <v>81</v>
      </c>
      <c r="S17" t="s">
        <v>82</v>
      </c>
      <c r="T17" t="s">
        <v>81</v>
      </c>
      <c r="U17" t="s">
        <v>82</v>
      </c>
      <c r="V17" t="s">
        <v>81</v>
      </c>
      <c r="W17" t="s">
        <v>82</v>
      </c>
      <c r="X17" t="s">
        <v>81</v>
      </c>
      <c r="Y17" t="s">
        <v>82</v>
      </c>
      <c r="Z17" t="s">
        <v>81</v>
      </c>
      <c r="AA17" t="s">
        <v>82</v>
      </c>
      <c r="AB17" t="s">
        <v>81</v>
      </c>
      <c r="AC17" t="s">
        <v>82</v>
      </c>
    </row>
    <row r="18" spans="1:29" x14ac:dyDescent="0.25">
      <c r="B18" t="s">
        <v>112</v>
      </c>
      <c r="C18" t="s">
        <v>112</v>
      </c>
      <c r="D18" t="s">
        <v>93</v>
      </c>
      <c r="E18" t="s">
        <v>93</v>
      </c>
      <c r="F18" t="s">
        <v>94</v>
      </c>
      <c r="G18" t="s">
        <v>94</v>
      </c>
      <c r="H18" t="s">
        <v>95</v>
      </c>
      <c r="I18" t="s">
        <v>95</v>
      </c>
      <c r="J18" t="s">
        <v>96</v>
      </c>
      <c r="K18" t="s">
        <v>96</v>
      </c>
      <c r="L18" t="s">
        <v>97</v>
      </c>
      <c r="M18" t="s">
        <v>97</v>
      </c>
      <c r="N18" t="s">
        <v>98</v>
      </c>
      <c r="O18" t="s">
        <v>98</v>
      </c>
      <c r="P18" t="s">
        <v>84</v>
      </c>
      <c r="Q18" t="s">
        <v>84</v>
      </c>
      <c r="R18" t="s">
        <v>85</v>
      </c>
      <c r="S18" t="s">
        <v>85</v>
      </c>
      <c r="T18" t="s">
        <v>86</v>
      </c>
      <c r="U18" t="s">
        <v>86</v>
      </c>
      <c r="V18" t="s">
        <v>87</v>
      </c>
      <c r="W18" t="s">
        <v>87</v>
      </c>
      <c r="X18" t="s">
        <v>88</v>
      </c>
      <c r="Y18" t="s">
        <v>88</v>
      </c>
      <c r="Z18" t="s">
        <v>4</v>
      </c>
      <c r="AA18" t="s">
        <v>4</v>
      </c>
      <c r="AB18" t="s">
        <v>6</v>
      </c>
      <c r="AC18" t="s">
        <v>6</v>
      </c>
    </row>
    <row r="19" spans="1:29" x14ac:dyDescent="0.25">
      <c r="B19">
        <v>8661004</v>
      </c>
      <c r="C19">
        <v>9810212</v>
      </c>
      <c r="D19">
        <v>1643240</v>
      </c>
      <c r="E19">
        <v>1686110</v>
      </c>
      <c r="F19">
        <v>2308558</v>
      </c>
      <c r="G19">
        <v>2370682</v>
      </c>
      <c r="H19">
        <v>1260468</v>
      </c>
      <c r="I19">
        <v>1272194</v>
      </c>
      <c r="J19">
        <v>4074</v>
      </c>
      <c r="K19">
        <v>4030</v>
      </c>
      <c r="L19">
        <v>6084</v>
      </c>
      <c r="M19">
        <v>6418</v>
      </c>
      <c r="N19">
        <v>5656</v>
      </c>
      <c r="O19">
        <v>5502</v>
      </c>
      <c r="P19">
        <v>343104</v>
      </c>
      <c r="Q19">
        <v>343810</v>
      </c>
      <c r="R19">
        <v>8.4600000000000009</v>
      </c>
      <c r="S19">
        <v>9.27</v>
      </c>
      <c r="X19">
        <v>8.6319010000000009E-3</v>
      </c>
      <c r="Y19">
        <v>9.4523009999999998E-3</v>
      </c>
      <c r="Z19">
        <v>5.3670000000000002E-3</v>
      </c>
      <c r="AA19">
        <v>5.1989999999999996E-3</v>
      </c>
      <c r="AB19">
        <v>3.215E-3</v>
      </c>
      <c r="AC19">
        <v>4.1479999999999998E-3</v>
      </c>
    </row>
    <row r="20" spans="1:29" x14ac:dyDescent="0.25">
      <c r="B20">
        <v>8707780</v>
      </c>
      <c r="C20">
        <v>9788504</v>
      </c>
      <c r="D20">
        <v>1621286</v>
      </c>
      <c r="E20">
        <v>1672696</v>
      </c>
      <c r="F20">
        <v>2342208</v>
      </c>
      <c r="G20">
        <v>2364882</v>
      </c>
      <c r="H20">
        <v>1227026</v>
      </c>
      <c r="I20">
        <v>1237400</v>
      </c>
      <c r="J20">
        <v>3962</v>
      </c>
      <c r="K20">
        <v>4048</v>
      </c>
      <c r="L20">
        <v>6338</v>
      </c>
      <c r="M20">
        <v>6334</v>
      </c>
      <c r="N20">
        <v>6476</v>
      </c>
      <c r="O20">
        <v>5540</v>
      </c>
      <c r="P20">
        <v>338758</v>
      </c>
      <c r="Q20">
        <v>387574</v>
      </c>
      <c r="R20">
        <v>8.42</v>
      </c>
      <c r="S20">
        <v>9.23</v>
      </c>
      <c r="X20">
        <v>8.6320619999999994E-3</v>
      </c>
      <c r="Y20">
        <v>9.4094499999999998E-3</v>
      </c>
      <c r="Z20">
        <v>5.339E-3</v>
      </c>
      <c r="AA20">
        <v>5.169E-3</v>
      </c>
      <c r="AB20">
        <v>3.192E-3</v>
      </c>
      <c r="AC20">
        <v>4.1320000000000003E-3</v>
      </c>
    </row>
    <row r="21" spans="1:29" x14ac:dyDescent="0.25">
      <c r="B21">
        <v>8672790</v>
      </c>
      <c r="C21">
        <v>9968980</v>
      </c>
      <c r="D21">
        <v>1646448</v>
      </c>
      <c r="E21">
        <v>1731942</v>
      </c>
      <c r="F21">
        <v>2324840</v>
      </c>
      <c r="G21">
        <v>2392182</v>
      </c>
      <c r="H21">
        <v>1234134</v>
      </c>
      <c r="I21">
        <v>1247518</v>
      </c>
      <c r="J21">
        <v>3946</v>
      </c>
      <c r="K21">
        <v>4060</v>
      </c>
      <c r="L21">
        <v>6240</v>
      </c>
      <c r="M21">
        <v>6354</v>
      </c>
      <c r="N21">
        <v>5456</v>
      </c>
      <c r="O21">
        <v>5756</v>
      </c>
      <c r="P21">
        <v>326134</v>
      </c>
      <c r="Q21">
        <v>342144</v>
      </c>
      <c r="R21">
        <v>8.44</v>
      </c>
      <c r="S21">
        <v>9.33</v>
      </c>
      <c r="X21">
        <v>8.6007289999999997E-3</v>
      </c>
      <c r="Y21">
        <v>9.5033449999999998E-3</v>
      </c>
      <c r="Z21">
        <v>4.2789999999999998E-3</v>
      </c>
      <c r="AA21">
        <v>4.1780000000000003E-3</v>
      </c>
      <c r="AB21">
        <v>4.2700000000000004E-3</v>
      </c>
      <c r="AC21">
        <v>5.2139999999999999E-3</v>
      </c>
    </row>
    <row r="22" spans="1:29" x14ac:dyDescent="0.25">
      <c r="B22">
        <v>8798822</v>
      </c>
      <c r="C22">
        <v>9973792</v>
      </c>
      <c r="D22">
        <v>1629954</v>
      </c>
      <c r="E22">
        <v>1675190</v>
      </c>
      <c r="F22">
        <v>2342372</v>
      </c>
      <c r="G22">
        <v>2373546</v>
      </c>
      <c r="H22">
        <v>1280400</v>
      </c>
      <c r="I22">
        <v>1448994</v>
      </c>
      <c r="J22">
        <v>4206</v>
      </c>
      <c r="K22">
        <v>4368</v>
      </c>
      <c r="L22">
        <v>6714</v>
      </c>
      <c r="M22">
        <v>6916</v>
      </c>
      <c r="N22">
        <v>6014</v>
      </c>
      <c r="O22">
        <v>5790</v>
      </c>
      <c r="P22">
        <v>344802</v>
      </c>
      <c r="Q22">
        <v>360470</v>
      </c>
      <c r="R22">
        <v>8.56</v>
      </c>
      <c r="S22">
        <v>9.43</v>
      </c>
      <c r="X22">
        <v>9.5312020000000008E-3</v>
      </c>
      <c r="Y22">
        <v>9.6183090000000002E-3</v>
      </c>
      <c r="Z22">
        <v>5.4209999999999996E-3</v>
      </c>
      <c r="AA22">
        <v>6.3480000000000003E-3</v>
      </c>
      <c r="AB22">
        <v>3.2390000000000001E-3</v>
      </c>
      <c r="AC22">
        <v>3.1589999999999999E-3</v>
      </c>
    </row>
    <row r="23" spans="1:29" x14ac:dyDescent="0.25">
      <c r="B23">
        <v>9151950</v>
      </c>
      <c r="C23">
        <v>9939802</v>
      </c>
      <c r="D23">
        <v>1667566</v>
      </c>
      <c r="E23">
        <v>1671188</v>
      </c>
      <c r="F23">
        <v>2370886</v>
      </c>
      <c r="G23">
        <v>2382214</v>
      </c>
      <c r="H23">
        <v>1219678</v>
      </c>
      <c r="I23">
        <v>1250000</v>
      </c>
      <c r="J23">
        <v>3818</v>
      </c>
      <c r="K23">
        <v>4040</v>
      </c>
      <c r="L23">
        <v>6160</v>
      </c>
      <c r="M23">
        <v>6600</v>
      </c>
      <c r="N23">
        <v>5516</v>
      </c>
      <c r="O23">
        <v>5676</v>
      </c>
      <c r="P23">
        <v>327510</v>
      </c>
      <c r="Q23">
        <v>366390</v>
      </c>
      <c r="R23">
        <v>8.69</v>
      </c>
      <c r="S23">
        <v>9.3000000000000007</v>
      </c>
      <c r="X23">
        <v>8.8492929999999994E-3</v>
      </c>
      <c r="Y23">
        <v>9.4888590000000005E-3</v>
      </c>
      <c r="Z23">
        <v>5.5019999999999999E-3</v>
      </c>
      <c r="AA23">
        <v>5.215E-3</v>
      </c>
      <c r="AB23">
        <v>3.3010000000000001E-3</v>
      </c>
      <c r="AC23">
        <v>4.1609999999999998E-3</v>
      </c>
    </row>
    <row r="24" spans="1:29" x14ac:dyDescent="0.25">
      <c r="B24">
        <v>8795962</v>
      </c>
      <c r="C24">
        <v>10335756</v>
      </c>
      <c r="D24">
        <v>1839372</v>
      </c>
      <c r="E24">
        <v>1691752</v>
      </c>
      <c r="F24">
        <v>2412160</v>
      </c>
      <c r="G24">
        <v>2357334</v>
      </c>
      <c r="H24">
        <v>1239272</v>
      </c>
      <c r="I24">
        <v>1259716</v>
      </c>
      <c r="J24">
        <v>4216</v>
      </c>
      <c r="K24">
        <v>4246</v>
      </c>
      <c r="L24">
        <v>6058</v>
      </c>
      <c r="M24">
        <v>6092</v>
      </c>
      <c r="N24">
        <v>5902</v>
      </c>
      <c r="O24">
        <v>6060</v>
      </c>
      <c r="P24">
        <v>334482</v>
      </c>
      <c r="Q24">
        <v>340778</v>
      </c>
      <c r="R24">
        <v>8.6300000000000008</v>
      </c>
      <c r="S24">
        <v>9.4700000000000006</v>
      </c>
      <c r="X24">
        <v>8.7964099999999993E-3</v>
      </c>
      <c r="Y24">
        <v>9.6524049999999993E-3</v>
      </c>
      <c r="Z24">
        <v>3.885E-3</v>
      </c>
      <c r="AA24">
        <v>4.2430000000000002E-3</v>
      </c>
      <c r="AB24">
        <v>4.8479999999999999E-3</v>
      </c>
      <c r="AC24">
        <v>5.2950000000000002E-3</v>
      </c>
    </row>
    <row r="25" spans="1:29" x14ac:dyDescent="0.25">
      <c r="B25">
        <v>9162594</v>
      </c>
      <c r="C25">
        <v>9931878</v>
      </c>
      <c r="D25">
        <v>1692562</v>
      </c>
      <c r="E25">
        <v>1722134</v>
      </c>
      <c r="F25">
        <v>2368000</v>
      </c>
      <c r="G25">
        <v>2376954</v>
      </c>
      <c r="H25">
        <v>1225990</v>
      </c>
      <c r="I25">
        <v>1253294</v>
      </c>
      <c r="J25">
        <v>4084</v>
      </c>
      <c r="K25">
        <v>4152</v>
      </c>
      <c r="L25">
        <v>6072</v>
      </c>
      <c r="M25">
        <v>6426</v>
      </c>
      <c r="N25">
        <v>5684</v>
      </c>
      <c r="O25">
        <v>5484</v>
      </c>
      <c r="P25">
        <v>335998</v>
      </c>
      <c r="Q25">
        <v>347666</v>
      </c>
      <c r="R25">
        <v>8.7200000000000006</v>
      </c>
      <c r="S25">
        <v>9.31</v>
      </c>
      <c r="X25">
        <v>8.8812019999999995E-3</v>
      </c>
      <c r="Y25">
        <v>9.4842199999999998E-3</v>
      </c>
      <c r="Z25">
        <v>4.4229999999999998E-3</v>
      </c>
      <c r="AA25">
        <v>4.1710000000000002E-3</v>
      </c>
      <c r="AB25">
        <v>4.4120000000000001E-3</v>
      </c>
      <c r="AC25">
        <v>5.2069999999999998E-3</v>
      </c>
    </row>
    <row r="26" spans="1:29" x14ac:dyDescent="0.25">
      <c r="B26">
        <v>8443716</v>
      </c>
      <c r="C26">
        <v>10023046</v>
      </c>
      <c r="D26">
        <v>1638502</v>
      </c>
      <c r="E26">
        <v>1678504</v>
      </c>
      <c r="F26">
        <v>2329294</v>
      </c>
      <c r="G26">
        <v>2432948</v>
      </c>
      <c r="H26">
        <v>1279716</v>
      </c>
      <c r="I26">
        <v>1241680</v>
      </c>
      <c r="J26">
        <v>4218</v>
      </c>
      <c r="K26">
        <v>4360</v>
      </c>
      <c r="L26">
        <v>6504</v>
      </c>
      <c r="M26">
        <v>6526</v>
      </c>
      <c r="N26">
        <v>5748</v>
      </c>
      <c r="O26">
        <v>5612</v>
      </c>
      <c r="P26">
        <v>360950</v>
      </c>
      <c r="Q26">
        <v>374930</v>
      </c>
      <c r="R26">
        <v>8.35</v>
      </c>
      <c r="S26">
        <v>9.39</v>
      </c>
      <c r="X26">
        <v>8.5045320000000004E-3</v>
      </c>
      <c r="Y26">
        <v>9.5716470000000008E-3</v>
      </c>
      <c r="Z26">
        <v>4.228E-3</v>
      </c>
      <c r="AA26">
        <v>3.7720000000000002E-3</v>
      </c>
      <c r="AB26">
        <v>4.2170000000000003E-3</v>
      </c>
      <c r="AC26">
        <v>5.653E-3</v>
      </c>
    </row>
    <row r="27" spans="1:29" x14ac:dyDescent="0.25">
      <c r="B27">
        <v>8758424</v>
      </c>
      <c r="C27">
        <v>10195830</v>
      </c>
      <c r="D27">
        <v>1644848</v>
      </c>
      <c r="E27">
        <v>1680838</v>
      </c>
      <c r="F27">
        <v>2314072</v>
      </c>
      <c r="G27">
        <v>2424446</v>
      </c>
      <c r="H27">
        <v>1227198</v>
      </c>
      <c r="I27">
        <v>1247530</v>
      </c>
      <c r="J27">
        <v>4050</v>
      </c>
      <c r="K27">
        <v>4130</v>
      </c>
      <c r="L27">
        <v>6164</v>
      </c>
      <c r="M27">
        <v>6668</v>
      </c>
      <c r="N27">
        <v>5558</v>
      </c>
      <c r="O27">
        <v>5554</v>
      </c>
      <c r="P27">
        <v>326846</v>
      </c>
      <c r="Q27">
        <v>379442</v>
      </c>
      <c r="R27">
        <v>8.4600000000000009</v>
      </c>
      <c r="S27">
        <v>9.48</v>
      </c>
      <c r="X27">
        <v>8.620384E-3</v>
      </c>
      <c r="Y27">
        <v>9.6780679999999997E-3</v>
      </c>
      <c r="Z27">
        <v>5.3600000000000002E-3</v>
      </c>
      <c r="AA27">
        <v>4.7609999999999996E-3</v>
      </c>
      <c r="AB27">
        <v>3.2109999999999999E-3</v>
      </c>
      <c r="AC27">
        <v>4.7689999999999998E-3</v>
      </c>
    </row>
    <row r="28" spans="1:29" x14ac:dyDescent="0.25">
      <c r="B28">
        <v>8840192</v>
      </c>
      <c r="C28">
        <v>10270620</v>
      </c>
      <c r="D28">
        <v>1644820</v>
      </c>
      <c r="E28">
        <v>1661700</v>
      </c>
      <c r="F28">
        <v>2392484</v>
      </c>
      <c r="G28">
        <v>2369190</v>
      </c>
      <c r="H28">
        <v>1237730</v>
      </c>
      <c r="I28">
        <v>1253864</v>
      </c>
      <c r="J28">
        <v>3972</v>
      </c>
      <c r="K28">
        <v>4232</v>
      </c>
      <c r="L28">
        <v>6350</v>
      </c>
      <c r="M28">
        <v>6880</v>
      </c>
      <c r="N28">
        <v>5548</v>
      </c>
      <c r="O28">
        <v>5690</v>
      </c>
      <c r="P28">
        <v>330518</v>
      </c>
      <c r="Q28">
        <v>358644</v>
      </c>
      <c r="R28">
        <v>8.58</v>
      </c>
      <c r="S28">
        <v>9.5</v>
      </c>
      <c r="X28">
        <v>9.4323280000000002E-3</v>
      </c>
      <c r="Y28">
        <v>9.677448E-3</v>
      </c>
      <c r="Z28">
        <v>4.339E-3</v>
      </c>
      <c r="AA28">
        <v>5.3200000000000001E-3</v>
      </c>
      <c r="AB28">
        <v>4.3400000000000001E-3</v>
      </c>
      <c r="AC28">
        <v>4.2449999999999996E-3</v>
      </c>
    </row>
    <row r="29" spans="1:29" x14ac:dyDescent="0.25">
      <c r="B29">
        <f>AVERAGE(B19:B28)</f>
        <v>8799323.4000000004</v>
      </c>
      <c r="C29">
        <f t="shared" ref="C29:AC29" si="1">AVERAGE(C19:C28)</f>
        <v>10023842</v>
      </c>
      <c r="D29">
        <f t="shared" si="1"/>
        <v>1666859.8</v>
      </c>
      <c r="E29">
        <f t="shared" si="1"/>
        <v>1687205.4</v>
      </c>
      <c r="F29">
        <f t="shared" si="1"/>
        <v>2350487.4</v>
      </c>
      <c r="G29">
        <f t="shared" si="1"/>
        <v>2384437.7999999998</v>
      </c>
      <c r="H29">
        <f t="shared" si="1"/>
        <v>1243161.2</v>
      </c>
      <c r="I29">
        <f t="shared" si="1"/>
        <v>1271219</v>
      </c>
      <c r="J29">
        <f t="shared" si="1"/>
        <v>4054.6</v>
      </c>
      <c r="K29">
        <f t="shared" si="1"/>
        <v>4166.6000000000004</v>
      </c>
      <c r="L29">
        <f t="shared" si="1"/>
        <v>6268.4</v>
      </c>
      <c r="M29">
        <f t="shared" si="1"/>
        <v>6521.4</v>
      </c>
      <c r="N29">
        <f t="shared" si="1"/>
        <v>5755.8</v>
      </c>
      <c r="O29">
        <f t="shared" si="1"/>
        <v>5666.4</v>
      </c>
      <c r="P29">
        <f t="shared" si="1"/>
        <v>336910.2</v>
      </c>
      <c r="Q29">
        <f t="shared" si="1"/>
        <v>360184.8</v>
      </c>
      <c r="R29">
        <f t="shared" si="1"/>
        <v>8.5309999999999988</v>
      </c>
      <c r="S29">
        <f t="shared" si="1"/>
        <v>9.3710000000000004</v>
      </c>
      <c r="T29" t="e">
        <f t="shared" si="1"/>
        <v>#DIV/0!</v>
      </c>
      <c r="U29" t="e">
        <f t="shared" si="1"/>
        <v>#DIV/0!</v>
      </c>
      <c r="V29" t="e">
        <f t="shared" si="1"/>
        <v>#DIV/0!</v>
      </c>
      <c r="W29" t="e">
        <f t="shared" si="1"/>
        <v>#DIV/0!</v>
      </c>
      <c r="X29">
        <f t="shared" si="1"/>
        <v>8.8480043000000001E-3</v>
      </c>
      <c r="Y29">
        <f t="shared" si="1"/>
        <v>9.5536052000000007E-3</v>
      </c>
      <c r="Z29">
        <f t="shared" si="1"/>
        <v>4.8142999999999997E-3</v>
      </c>
      <c r="AA29">
        <f t="shared" si="1"/>
        <v>4.8375999999999992E-3</v>
      </c>
      <c r="AB29">
        <f t="shared" si="1"/>
        <v>3.8245000000000002E-3</v>
      </c>
      <c r="AC29">
        <f t="shared" si="1"/>
        <v>4.5982999999999996E-3</v>
      </c>
    </row>
    <row r="30" spans="1:29" x14ac:dyDescent="0.25">
      <c r="C30">
        <f>100*C29/B29</f>
        <v>113.91605404570083</v>
      </c>
      <c r="D30">
        <f>AVERAGE(E30:O30)</f>
        <v>101.69452688335666</v>
      </c>
      <c r="E30">
        <f>100*E29/D29</f>
        <v>101.22059455750268</v>
      </c>
      <c r="G30">
        <f>100*G29/F29</f>
        <v>101.44439829798704</v>
      </c>
      <c r="I30">
        <f>100*I29/H29</f>
        <v>102.25697198400337</v>
      </c>
      <c r="K30">
        <f>100*K29/J29</f>
        <v>102.76229467765009</v>
      </c>
      <c r="M30">
        <f>100*M29/L29</f>
        <v>104.03611766958076</v>
      </c>
      <c r="O30">
        <f>100*O29/N29</f>
        <v>98.44678411341603</v>
      </c>
      <c r="Q30">
        <f>100*Q29/P29</f>
        <v>106.90825032901942</v>
      </c>
      <c r="S30">
        <f>100*S29/R29</f>
        <v>109.8464423865901</v>
      </c>
      <c r="U30" t="e">
        <f>100*U29/T29</f>
        <v>#DIV/0!</v>
      </c>
      <c r="W30" t="e">
        <f>100*W29/V29</f>
        <v>#DIV/0!</v>
      </c>
      <c r="Y30">
        <f>100*Y29/X29</f>
        <v>107.97468984051014</v>
      </c>
      <c r="AA30">
        <f>100*AA29/Z29</f>
        <v>100.4839748250005</v>
      </c>
      <c r="AC30">
        <f>100*AC29/AB29</f>
        <v>120.2327101581906</v>
      </c>
    </row>
    <row r="32" spans="1:29" x14ac:dyDescent="0.25">
      <c r="F32">
        <v>1</v>
      </c>
      <c r="G32">
        <v>10</v>
      </c>
    </row>
    <row r="33" spans="1:7" x14ac:dyDescent="0.25">
      <c r="A33" t="s">
        <v>116</v>
      </c>
      <c r="B33" t="s">
        <v>117</v>
      </c>
      <c r="C33">
        <v>100289210</v>
      </c>
      <c r="E33" t="s">
        <v>119</v>
      </c>
      <c r="F33">
        <v>2</v>
      </c>
      <c r="G33">
        <v>2</v>
      </c>
    </row>
    <row r="34" spans="1:7" x14ac:dyDescent="0.25">
      <c r="A34" t="s">
        <v>116</v>
      </c>
      <c r="B34" t="s">
        <v>117</v>
      </c>
      <c r="C34">
        <v>99699870</v>
      </c>
    </row>
    <row r="35" spans="1:7" x14ac:dyDescent="0.25">
      <c r="A35" t="s">
        <v>116</v>
      </c>
      <c r="B35" t="s">
        <v>117</v>
      </c>
      <c r="C35">
        <v>100460116</v>
      </c>
    </row>
    <row r="36" spans="1:7" x14ac:dyDescent="0.25">
      <c r="A36" t="s">
        <v>116</v>
      </c>
      <c r="B36" t="s">
        <v>117</v>
      </c>
      <c r="C36">
        <v>100376894</v>
      </c>
    </row>
    <row r="37" spans="1:7" x14ac:dyDescent="0.25">
      <c r="A37" t="s">
        <v>116</v>
      </c>
      <c r="B37" t="s">
        <v>117</v>
      </c>
      <c r="C37">
        <v>105398340</v>
      </c>
    </row>
    <row r="38" spans="1:7" x14ac:dyDescent="0.25">
      <c r="A38" t="s">
        <v>116</v>
      </c>
      <c r="B38" t="s">
        <v>117</v>
      </c>
      <c r="C38">
        <v>100578560</v>
      </c>
    </row>
    <row r="39" spans="1:7" x14ac:dyDescent="0.25">
      <c r="A39" t="s">
        <v>116</v>
      </c>
      <c r="B39" t="s">
        <v>117</v>
      </c>
      <c r="C39">
        <v>100207746</v>
      </c>
    </row>
    <row r="40" spans="1:7" x14ac:dyDescent="0.25">
      <c r="A40" t="s">
        <v>116</v>
      </c>
      <c r="B40" t="s">
        <v>117</v>
      </c>
      <c r="C40">
        <v>99998486</v>
      </c>
    </row>
    <row r="41" spans="1:7" x14ac:dyDescent="0.25">
      <c r="A41" t="s">
        <v>116</v>
      </c>
      <c r="B41" t="s">
        <v>117</v>
      </c>
      <c r="C41">
        <v>100179820</v>
      </c>
    </row>
    <row r="42" spans="1:7" x14ac:dyDescent="0.25">
      <c r="A42" t="s">
        <v>116</v>
      </c>
      <c r="B42" t="s">
        <v>117</v>
      </c>
      <c r="C42">
        <v>100536314</v>
      </c>
    </row>
    <row r="43" spans="1:7" x14ac:dyDescent="0.25">
      <c r="C43">
        <f>AVERAGE(C33:C42)</f>
        <v>100772535.59999999</v>
      </c>
    </row>
    <row r="44" spans="1:7" x14ac:dyDescent="0.25">
      <c r="C44">
        <f>100*C43/B13</f>
        <v>213.94067677272056</v>
      </c>
    </row>
    <row r="90" spans="1:29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  <c r="T90" t="s">
        <v>81</v>
      </c>
      <c r="U90" t="s">
        <v>82</v>
      </c>
      <c r="V90" t="s">
        <v>81</v>
      </c>
      <c r="W90" t="s">
        <v>82</v>
      </c>
      <c r="X90" t="s">
        <v>81</v>
      </c>
      <c r="Y90" t="s">
        <v>82</v>
      </c>
      <c r="Z90" t="s">
        <v>81</v>
      </c>
      <c r="AA90" t="s">
        <v>82</v>
      </c>
      <c r="AB90" t="s">
        <v>81</v>
      </c>
      <c r="AC90" t="s">
        <v>82</v>
      </c>
    </row>
    <row r="91" spans="1:29" x14ac:dyDescent="0.25">
      <c r="B91" t="s">
        <v>112</v>
      </c>
      <c r="C91" t="s">
        <v>112</v>
      </c>
      <c r="D91" t="s">
        <v>93</v>
      </c>
      <c r="E91" t="s">
        <v>93</v>
      </c>
      <c r="F91" t="s">
        <v>94</v>
      </c>
      <c r="G91" t="s">
        <v>94</v>
      </c>
      <c r="H91" t="s">
        <v>95</v>
      </c>
      <c r="I91" t="s">
        <v>95</v>
      </c>
      <c r="J91" t="s">
        <v>96</v>
      </c>
      <c r="K91" t="s">
        <v>96</v>
      </c>
      <c r="L91" t="s">
        <v>97</v>
      </c>
      <c r="M91" t="s">
        <v>97</v>
      </c>
      <c r="N91" t="s">
        <v>98</v>
      </c>
      <c r="O91" t="s">
        <v>98</v>
      </c>
      <c r="P91" t="s">
        <v>84</v>
      </c>
      <c r="Q91" t="s">
        <v>84</v>
      </c>
      <c r="R91" t="s">
        <v>85</v>
      </c>
      <c r="S91" t="s">
        <v>85</v>
      </c>
      <c r="T91" t="s">
        <v>86</v>
      </c>
      <c r="U91" t="s">
        <v>86</v>
      </c>
      <c r="V91" t="s">
        <v>87</v>
      </c>
      <c r="W91" t="s">
        <v>87</v>
      </c>
      <c r="X91" t="s">
        <v>88</v>
      </c>
      <c r="Y91" t="s">
        <v>88</v>
      </c>
      <c r="Z91" t="s">
        <v>4</v>
      </c>
      <c r="AA91" t="s">
        <v>4</v>
      </c>
      <c r="AB91" t="s">
        <v>6</v>
      </c>
      <c r="AC91" t="s">
        <v>6</v>
      </c>
    </row>
    <row r="92" spans="1:29" x14ac:dyDescent="0.25">
      <c r="B92">
        <v>44757652</v>
      </c>
      <c r="C92">
        <v>97638306</v>
      </c>
      <c r="N92">
        <v>5900866</v>
      </c>
      <c r="O92">
        <v>6585452</v>
      </c>
      <c r="P92">
        <v>1979580</v>
      </c>
      <c r="Q92">
        <v>2278564</v>
      </c>
      <c r="R92">
        <v>27.33</v>
      </c>
      <c r="S92">
        <v>54.43</v>
      </c>
      <c r="X92">
        <v>2.7486296E-2</v>
      </c>
      <c r="Y92">
        <v>5.4652315E-2</v>
      </c>
      <c r="Z92">
        <v>6.0829999999999999E-3</v>
      </c>
      <c r="AA92">
        <v>5.1029999999999999E-3</v>
      </c>
      <c r="AB92">
        <v>2.1301E-2</v>
      </c>
      <c r="AC92">
        <v>4.9022999999999997E-2</v>
      </c>
    </row>
    <row r="93" spans="1:29" x14ac:dyDescent="0.25">
      <c r="B93">
        <v>45090882</v>
      </c>
      <c r="C93">
        <v>99083254</v>
      </c>
      <c r="N93">
        <v>5979726</v>
      </c>
      <c r="O93">
        <v>6602258</v>
      </c>
      <c r="P93">
        <v>1974640</v>
      </c>
      <c r="Q93">
        <v>2306854</v>
      </c>
      <c r="R93">
        <v>27.51</v>
      </c>
      <c r="S93">
        <v>55.2</v>
      </c>
      <c r="X93">
        <v>2.7680276E-2</v>
      </c>
      <c r="Y93">
        <v>5.5374263E-2</v>
      </c>
      <c r="Z93">
        <v>3.9329999999999999E-3</v>
      </c>
      <c r="AA93">
        <v>5.9839999999999997E-3</v>
      </c>
      <c r="AB93">
        <v>2.3599999999999999E-2</v>
      </c>
      <c r="AC93">
        <v>4.8917000000000002E-2</v>
      </c>
    </row>
    <row r="94" spans="1:29" x14ac:dyDescent="0.25">
      <c r="B94">
        <v>45322738</v>
      </c>
      <c r="C94">
        <v>99136250</v>
      </c>
      <c r="N94">
        <v>5966222</v>
      </c>
      <c r="O94">
        <v>6448070</v>
      </c>
      <c r="P94">
        <v>1977068</v>
      </c>
      <c r="Q94">
        <v>2373022</v>
      </c>
      <c r="R94">
        <v>27.61</v>
      </c>
      <c r="S94">
        <v>55.12</v>
      </c>
      <c r="X94">
        <v>2.7767013E-2</v>
      </c>
      <c r="Y94">
        <v>5.5285874999999998E-2</v>
      </c>
      <c r="Z94">
        <v>5.1209999999999997E-3</v>
      </c>
      <c r="AA94">
        <v>4.9750000000000003E-3</v>
      </c>
      <c r="AB94">
        <v>2.2537999999999999E-2</v>
      </c>
      <c r="AC94">
        <v>4.9799999999999997E-2</v>
      </c>
    </row>
    <row r="95" spans="1:29" x14ac:dyDescent="0.25">
      <c r="B95">
        <v>44696012</v>
      </c>
      <c r="C95">
        <v>98157150</v>
      </c>
      <c r="N95">
        <v>5960208</v>
      </c>
      <c r="O95">
        <v>6432208</v>
      </c>
      <c r="P95">
        <v>1879504</v>
      </c>
      <c r="Q95">
        <v>2357456</v>
      </c>
      <c r="R95">
        <v>27.26</v>
      </c>
      <c r="S95">
        <v>54.62</v>
      </c>
      <c r="X95">
        <v>2.7413119E-2</v>
      </c>
      <c r="Y95">
        <v>5.4788898000000003E-2</v>
      </c>
      <c r="Z95">
        <v>6.8259999999999996E-3</v>
      </c>
      <c r="AA95">
        <v>9.9670000000000002E-3</v>
      </c>
      <c r="AB95">
        <v>2.0476999999999999E-2</v>
      </c>
      <c r="AC95">
        <v>4.4178000000000002E-2</v>
      </c>
    </row>
    <row r="96" spans="1:29" x14ac:dyDescent="0.25">
      <c r="B96">
        <v>44753364</v>
      </c>
      <c r="C96">
        <v>99969378</v>
      </c>
      <c r="N96">
        <v>5965696</v>
      </c>
      <c r="O96">
        <v>6562390</v>
      </c>
      <c r="P96">
        <v>1971184</v>
      </c>
      <c r="Q96">
        <v>2284778</v>
      </c>
      <c r="R96">
        <v>27.33</v>
      </c>
      <c r="S96">
        <v>55.55</v>
      </c>
      <c r="X96">
        <v>2.7487596999999999E-2</v>
      </c>
      <c r="Y96">
        <v>5.5704536999999998E-2</v>
      </c>
      <c r="Z96">
        <v>5.0679999999999996E-3</v>
      </c>
      <c r="AA96">
        <v>8.0350000000000005E-3</v>
      </c>
      <c r="AB96">
        <v>2.2298999999999999E-2</v>
      </c>
      <c r="AC96">
        <v>4.7202000000000001E-2</v>
      </c>
    </row>
    <row r="97" spans="2:29" x14ac:dyDescent="0.25">
      <c r="B97">
        <v>44574176</v>
      </c>
      <c r="C97">
        <v>100236476</v>
      </c>
      <c r="N97">
        <v>5950652</v>
      </c>
      <c r="O97">
        <v>6472044</v>
      </c>
      <c r="P97">
        <v>1967288</v>
      </c>
      <c r="Q97">
        <v>2404160</v>
      </c>
      <c r="R97">
        <v>27.22</v>
      </c>
      <c r="S97">
        <v>55.71</v>
      </c>
      <c r="X97">
        <v>2.7380291000000001E-2</v>
      </c>
      <c r="Y97">
        <v>5.5898639999999999E-2</v>
      </c>
      <c r="Z97">
        <v>7.0679999999999996E-3</v>
      </c>
      <c r="AA97">
        <v>7.9059999999999998E-3</v>
      </c>
      <c r="AB97">
        <v>2.0199000000000002E-2</v>
      </c>
      <c r="AC97">
        <v>4.7462999999999998E-2</v>
      </c>
    </row>
    <row r="98" spans="2:29" x14ac:dyDescent="0.25">
      <c r="B98">
        <v>44796450</v>
      </c>
      <c r="C98">
        <v>99813336</v>
      </c>
      <c r="N98">
        <v>5958354</v>
      </c>
      <c r="O98">
        <v>6470028</v>
      </c>
      <c r="P98">
        <v>2051736</v>
      </c>
      <c r="Q98">
        <v>2367708</v>
      </c>
      <c r="R98">
        <v>27.4</v>
      </c>
      <c r="S98">
        <v>55.48</v>
      </c>
      <c r="X98">
        <v>2.7614847000000001E-2</v>
      </c>
      <c r="Y98">
        <v>5.5635161000000002E-2</v>
      </c>
      <c r="Z98">
        <v>5.8739999999999999E-3</v>
      </c>
      <c r="AA98">
        <v>8.0180000000000008E-3</v>
      </c>
      <c r="AB98">
        <v>2.1555000000000001E-2</v>
      </c>
      <c r="AC98">
        <v>4.7128000000000003E-2</v>
      </c>
    </row>
    <row r="99" spans="2:29" x14ac:dyDescent="0.25">
      <c r="B99">
        <v>44658986</v>
      </c>
      <c r="C99">
        <v>100106262</v>
      </c>
      <c r="N99">
        <v>5965972</v>
      </c>
      <c r="O99">
        <v>6515850</v>
      </c>
      <c r="P99">
        <v>1910812</v>
      </c>
      <c r="Q99">
        <v>2372268</v>
      </c>
      <c r="R99">
        <v>27.27</v>
      </c>
      <c r="S99">
        <v>55.63</v>
      </c>
      <c r="X99">
        <v>2.7417051000000001E-2</v>
      </c>
      <c r="Y99">
        <v>5.5810431000000001E-2</v>
      </c>
      <c r="Z99">
        <v>4.8760000000000001E-3</v>
      </c>
      <c r="AA99">
        <v>8.8780000000000005E-3</v>
      </c>
      <c r="AB99">
        <v>2.2428E-2</v>
      </c>
      <c r="AC99">
        <v>4.6434999999999997E-2</v>
      </c>
    </row>
    <row r="100" spans="2:29" x14ac:dyDescent="0.25">
      <c r="B100">
        <v>44619576</v>
      </c>
      <c r="C100">
        <v>99556552</v>
      </c>
      <c r="N100">
        <v>5955312</v>
      </c>
      <c r="O100">
        <v>6577780</v>
      </c>
      <c r="P100">
        <v>1895922</v>
      </c>
      <c r="Q100">
        <v>2291860</v>
      </c>
      <c r="R100">
        <v>27.25</v>
      </c>
      <c r="S100">
        <v>55.36</v>
      </c>
      <c r="X100">
        <v>2.7406262000000001E-2</v>
      </c>
      <c r="Y100">
        <v>5.5630856999999999E-2</v>
      </c>
      <c r="Z100">
        <v>4.0429999999999997E-3</v>
      </c>
      <c r="AA100">
        <v>4.9179999999999996E-3</v>
      </c>
      <c r="AB100">
        <v>2.3251999999999998E-2</v>
      </c>
      <c r="AC100">
        <v>5.0139999999999997E-2</v>
      </c>
    </row>
    <row r="101" spans="2:29" x14ac:dyDescent="0.25">
      <c r="B101">
        <v>44856538</v>
      </c>
      <c r="C101">
        <v>100810582</v>
      </c>
      <c r="N101">
        <v>5939278</v>
      </c>
      <c r="O101">
        <v>6481230</v>
      </c>
      <c r="P101">
        <v>1934458</v>
      </c>
      <c r="Q101">
        <v>2399446</v>
      </c>
      <c r="R101">
        <v>27.35</v>
      </c>
      <c r="S101">
        <v>55.99</v>
      </c>
      <c r="X101">
        <v>2.7501600000000001E-2</v>
      </c>
      <c r="Y101">
        <v>5.6152017999999998E-2</v>
      </c>
      <c r="Z101">
        <v>3.9139999999999999E-3</v>
      </c>
      <c r="AA101">
        <v>6.9490000000000003E-3</v>
      </c>
      <c r="AB101">
        <v>2.3479E-2</v>
      </c>
      <c r="AC101">
        <v>4.8701000000000001E-2</v>
      </c>
    </row>
    <row r="102" spans="2:29" x14ac:dyDescent="0.25">
      <c r="B102">
        <f>AVERAGE(B92:B101)</f>
        <v>44812637.399999999</v>
      </c>
      <c r="C102">
        <f t="shared" ref="C102:AB102" si="2">AVERAGE(C92:C101)</f>
        <v>99450754.599999994</v>
      </c>
      <c r="D102" t="e">
        <f t="shared" si="2"/>
        <v>#DIV/0!</v>
      </c>
      <c r="E102" t="e">
        <f t="shared" si="2"/>
        <v>#DIV/0!</v>
      </c>
      <c r="F102" t="e">
        <f t="shared" si="2"/>
        <v>#DIV/0!</v>
      </c>
      <c r="G102" t="e">
        <f t="shared" si="2"/>
        <v>#DIV/0!</v>
      </c>
      <c r="H102" t="e">
        <f t="shared" si="2"/>
        <v>#DIV/0!</v>
      </c>
      <c r="I102" t="e">
        <f t="shared" si="2"/>
        <v>#DIV/0!</v>
      </c>
      <c r="J102" t="e">
        <f t="shared" si="2"/>
        <v>#DIV/0!</v>
      </c>
      <c r="K102" t="e">
        <f t="shared" si="2"/>
        <v>#DIV/0!</v>
      </c>
      <c r="L102" t="e">
        <f t="shared" si="2"/>
        <v>#DIV/0!</v>
      </c>
      <c r="M102" t="e">
        <f t="shared" si="2"/>
        <v>#DIV/0!</v>
      </c>
      <c r="N102">
        <f t="shared" si="2"/>
        <v>5954228.5999999996</v>
      </c>
      <c r="O102">
        <f t="shared" si="2"/>
        <v>6514731</v>
      </c>
      <c r="P102">
        <f t="shared" si="2"/>
        <v>1954219.2</v>
      </c>
      <c r="Q102">
        <f t="shared" si="2"/>
        <v>2343611.6</v>
      </c>
      <c r="R102">
        <f t="shared" si="2"/>
        <v>27.353000000000002</v>
      </c>
      <c r="S102">
        <f t="shared" si="2"/>
        <v>55.309000000000005</v>
      </c>
      <c r="T102" t="e">
        <f t="shared" si="2"/>
        <v>#DIV/0!</v>
      </c>
      <c r="U102" t="e">
        <f t="shared" si="2"/>
        <v>#DIV/0!</v>
      </c>
      <c r="V102" t="e">
        <f t="shared" si="2"/>
        <v>#DIV/0!</v>
      </c>
      <c r="W102" t="e">
        <f t="shared" si="2"/>
        <v>#DIV/0!</v>
      </c>
      <c r="X102">
        <f t="shared" si="2"/>
        <v>2.75154352E-2</v>
      </c>
      <c r="Y102">
        <f t="shared" si="2"/>
        <v>5.5493299499999996E-2</v>
      </c>
      <c r="Z102">
        <f t="shared" si="2"/>
        <v>5.280599999999999E-3</v>
      </c>
      <c r="AA102">
        <f t="shared" si="2"/>
        <v>7.0732999999999994E-3</v>
      </c>
      <c r="AB102">
        <f t="shared" si="2"/>
        <v>2.2112799999999998E-2</v>
      </c>
      <c r="AC102">
        <f>AVERAGE(AC92:AC101)</f>
        <v>4.7898700000000002E-2</v>
      </c>
    </row>
    <row r="103" spans="2:29" x14ac:dyDescent="0.25">
      <c r="C103">
        <f>100*C102/B102</f>
        <v>221.92568964932201</v>
      </c>
      <c r="O103">
        <f>100*O102/N102</f>
        <v>109.41351831872899</v>
      </c>
      <c r="Q103">
        <f>100*Q102/P102</f>
        <v>119.92572788149866</v>
      </c>
      <c r="S103">
        <f>100*S102/R102</f>
        <v>202.20451138814755</v>
      </c>
      <c r="Y103">
        <f>100*Y102/X102</f>
        <v>201.68061706688906</v>
      </c>
      <c r="AA103">
        <f>100*AA102/Z102</f>
        <v>133.94879369768589</v>
      </c>
      <c r="AC103">
        <f>100*AC102/AB102</f>
        <v>216.61074129011254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05033-E258-4611-8954-150F8352BF48}">
  <dimension ref="A1:U103"/>
  <sheetViews>
    <sheetView topLeftCell="A88" workbookViewId="0">
      <selection activeCell="U103" sqref="U103"/>
    </sheetView>
  </sheetViews>
  <sheetFormatPr defaultRowHeight="15" x14ac:dyDescent="0.25"/>
  <cols>
    <col min="3" max="3" width="10" bestFit="1" customWidth="1"/>
    <col min="7" max="7" width="10" bestFit="1" customWidth="1"/>
  </cols>
  <sheetData>
    <row r="1" spans="1:21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  <c r="T1" t="s">
        <v>81</v>
      </c>
      <c r="U1" t="s">
        <v>82</v>
      </c>
    </row>
    <row r="2" spans="1:21" x14ac:dyDescent="0.25">
      <c r="B2" t="s">
        <v>112</v>
      </c>
      <c r="C2" t="s">
        <v>112</v>
      </c>
      <c r="D2" t="s">
        <v>92</v>
      </c>
      <c r="E2" t="s">
        <v>92</v>
      </c>
      <c r="F2" t="s">
        <v>83</v>
      </c>
      <c r="G2" t="s">
        <v>83</v>
      </c>
      <c r="H2" t="s">
        <v>84</v>
      </c>
      <c r="I2" t="s">
        <v>84</v>
      </c>
      <c r="J2" t="s">
        <v>85</v>
      </c>
      <c r="K2" t="s">
        <v>85</v>
      </c>
      <c r="L2" t="s">
        <v>86</v>
      </c>
      <c r="M2" t="s">
        <v>86</v>
      </c>
      <c r="N2" t="s">
        <v>87</v>
      </c>
      <c r="O2" t="s">
        <v>87</v>
      </c>
      <c r="P2" t="s">
        <v>88</v>
      </c>
      <c r="Q2" t="s">
        <v>88</v>
      </c>
      <c r="R2" t="s">
        <v>4</v>
      </c>
      <c r="S2" t="s">
        <v>4</v>
      </c>
      <c r="T2" t="s">
        <v>6</v>
      </c>
      <c r="U2" t="s">
        <v>6</v>
      </c>
    </row>
    <row r="3" spans="1:21" x14ac:dyDescent="0.25">
      <c r="B3">
        <v>36113178</v>
      </c>
      <c r="C3">
        <v>80619954</v>
      </c>
      <c r="D3">
        <v>326154</v>
      </c>
      <c r="E3">
        <v>1095956</v>
      </c>
      <c r="F3">
        <v>75512188</v>
      </c>
      <c r="G3">
        <v>115127512</v>
      </c>
      <c r="H3">
        <v>1618402</v>
      </c>
      <c r="I3">
        <v>1903314</v>
      </c>
      <c r="J3">
        <v>57.82</v>
      </c>
      <c r="K3">
        <v>100.5</v>
      </c>
      <c r="P3">
        <v>5.8040783999999998E-2</v>
      </c>
      <c r="Q3">
        <v>0.10073222799999999</v>
      </c>
      <c r="R3">
        <v>3.4909000000000003E-2</v>
      </c>
      <c r="S3">
        <v>5.8632999999999998E-2</v>
      </c>
      <c r="T3">
        <v>2.2918000000000001E-2</v>
      </c>
      <c r="U3">
        <v>4.0725999999999998E-2</v>
      </c>
    </row>
    <row r="4" spans="1:21" x14ac:dyDescent="0.25">
      <c r="B4">
        <v>35809330</v>
      </c>
      <c r="C4">
        <v>80547010</v>
      </c>
      <c r="D4">
        <v>337706</v>
      </c>
      <c r="E4">
        <v>1088430</v>
      </c>
      <c r="F4">
        <v>80941962</v>
      </c>
      <c r="G4">
        <v>116091472</v>
      </c>
      <c r="H4">
        <v>1586010</v>
      </c>
      <c r="I4">
        <v>1894394</v>
      </c>
      <c r="J4">
        <v>60.36</v>
      </c>
      <c r="K4">
        <v>100.95</v>
      </c>
      <c r="P4">
        <v>6.0564100000000003E-2</v>
      </c>
      <c r="Q4">
        <v>0.101170698</v>
      </c>
      <c r="R4">
        <v>3.3212999999999999E-2</v>
      </c>
      <c r="S4">
        <v>5.6659000000000001E-2</v>
      </c>
      <c r="T4">
        <v>2.7172000000000002E-2</v>
      </c>
      <c r="U4">
        <v>4.3714999999999997E-2</v>
      </c>
    </row>
    <row r="5" spans="1:21" x14ac:dyDescent="0.25">
      <c r="B5">
        <v>35646074</v>
      </c>
      <c r="C5">
        <v>80710240</v>
      </c>
      <c r="D5">
        <v>346602</v>
      </c>
      <c r="E5">
        <v>1276168</v>
      </c>
      <c r="F5">
        <v>74602716</v>
      </c>
      <c r="G5">
        <v>114736200</v>
      </c>
      <c r="H5">
        <v>1544788</v>
      </c>
      <c r="I5">
        <v>1891136</v>
      </c>
      <c r="J5">
        <v>57.06</v>
      </c>
      <c r="K5">
        <v>100.43</v>
      </c>
      <c r="P5">
        <v>5.7264212000000002E-2</v>
      </c>
      <c r="Q5">
        <v>0.100659366</v>
      </c>
      <c r="R5">
        <v>3.1985E-2</v>
      </c>
      <c r="S5">
        <v>5.9629000000000001E-2</v>
      </c>
      <c r="T5">
        <v>2.4972999999999999E-2</v>
      </c>
      <c r="U5">
        <v>3.9732000000000003E-2</v>
      </c>
    </row>
    <row r="6" spans="1:21" x14ac:dyDescent="0.25">
      <c r="B6">
        <v>35787316</v>
      </c>
      <c r="C6">
        <v>81389834</v>
      </c>
      <c r="D6">
        <v>328342</v>
      </c>
      <c r="E6">
        <v>1049448</v>
      </c>
      <c r="F6">
        <v>77300008</v>
      </c>
      <c r="G6">
        <v>119301296</v>
      </c>
      <c r="H6">
        <v>1590996</v>
      </c>
      <c r="I6">
        <v>1876522</v>
      </c>
      <c r="J6">
        <v>58.49</v>
      </c>
      <c r="K6">
        <v>102.97</v>
      </c>
      <c r="P6">
        <v>5.8689403000000001E-2</v>
      </c>
      <c r="Q6">
        <v>0.103182073</v>
      </c>
      <c r="R6">
        <v>3.0669999999999999E-2</v>
      </c>
      <c r="S6">
        <v>5.7417000000000003E-2</v>
      </c>
      <c r="T6">
        <v>2.7688999999999998E-2</v>
      </c>
      <c r="U6">
        <v>4.4526000000000003E-2</v>
      </c>
    </row>
    <row r="7" spans="1:21" x14ac:dyDescent="0.25">
      <c r="B7">
        <v>35688898</v>
      </c>
      <c r="C7">
        <v>81319450</v>
      </c>
      <c r="D7">
        <v>347362</v>
      </c>
      <c r="E7">
        <v>1092772</v>
      </c>
      <c r="F7">
        <v>78326034</v>
      </c>
      <c r="G7">
        <v>121195238</v>
      </c>
      <c r="H7">
        <v>1571464</v>
      </c>
      <c r="I7">
        <v>1832552</v>
      </c>
      <c r="J7">
        <v>58.95</v>
      </c>
      <c r="K7">
        <v>103.87</v>
      </c>
      <c r="P7">
        <v>5.9150814000000003E-2</v>
      </c>
      <c r="Q7">
        <v>0.104175116</v>
      </c>
      <c r="R7">
        <v>3.5975E-2</v>
      </c>
      <c r="S7">
        <v>5.2668E-2</v>
      </c>
      <c r="T7">
        <v>2.2978999999999999E-2</v>
      </c>
      <c r="U7">
        <v>5.0652000000000003E-2</v>
      </c>
    </row>
    <row r="8" spans="1:21" x14ac:dyDescent="0.25">
      <c r="B8">
        <v>35703306</v>
      </c>
      <c r="C8">
        <v>80372490</v>
      </c>
      <c r="D8">
        <v>330280</v>
      </c>
      <c r="E8">
        <v>1083208</v>
      </c>
      <c r="F8">
        <v>82146656</v>
      </c>
      <c r="G8">
        <v>107014152</v>
      </c>
      <c r="H8">
        <v>1522022</v>
      </c>
      <c r="I8">
        <v>1870664</v>
      </c>
      <c r="J8">
        <v>60.82</v>
      </c>
      <c r="K8">
        <v>96.28</v>
      </c>
      <c r="P8">
        <v>6.1042991999999997E-2</v>
      </c>
      <c r="Q8">
        <v>9.6518987000000001E-2</v>
      </c>
      <c r="R8">
        <v>3.8816999999999997E-2</v>
      </c>
      <c r="S8">
        <v>5.3663000000000002E-2</v>
      </c>
      <c r="T8">
        <v>2.1885000000000002E-2</v>
      </c>
      <c r="U8">
        <v>4.1711999999999999E-2</v>
      </c>
    </row>
    <row r="9" spans="1:21" x14ac:dyDescent="0.25">
      <c r="B9">
        <v>35845194</v>
      </c>
      <c r="C9">
        <v>80837980</v>
      </c>
      <c r="D9">
        <v>343944</v>
      </c>
      <c r="E9">
        <v>1167872</v>
      </c>
      <c r="F9">
        <v>81142412</v>
      </c>
      <c r="G9">
        <v>110359310</v>
      </c>
      <c r="H9">
        <v>1547428</v>
      </c>
      <c r="I9">
        <v>1895444</v>
      </c>
      <c r="J9">
        <v>60.42</v>
      </c>
      <c r="K9">
        <v>98.25</v>
      </c>
      <c r="P9">
        <v>6.0622757999999999E-2</v>
      </c>
      <c r="Q9">
        <v>9.8477015000000001E-2</v>
      </c>
      <c r="R9">
        <v>2.9985000000000001E-2</v>
      </c>
      <c r="S9">
        <v>5.9632999999999999E-2</v>
      </c>
      <c r="T9">
        <v>2.9963E-2</v>
      </c>
      <c r="U9">
        <v>3.7747000000000003E-2</v>
      </c>
    </row>
    <row r="10" spans="1:21" x14ac:dyDescent="0.25">
      <c r="B10">
        <v>35652920</v>
      </c>
      <c r="C10">
        <v>80273344</v>
      </c>
      <c r="D10">
        <v>351034</v>
      </c>
      <c r="E10">
        <v>1085976</v>
      </c>
      <c r="F10">
        <v>83051632</v>
      </c>
      <c r="G10">
        <v>116751864</v>
      </c>
      <c r="H10">
        <v>1589094</v>
      </c>
      <c r="I10">
        <v>1887668</v>
      </c>
      <c r="J10">
        <v>61.29</v>
      </c>
      <c r="K10">
        <v>101.12</v>
      </c>
      <c r="P10">
        <v>6.1518529000000002E-2</v>
      </c>
      <c r="Q10">
        <v>0.10138644600000001</v>
      </c>
      <c r="R10">
        <v>3.7952E-2</v>
      </c>
      <c r="S10">
        <v>5.6640999999999997E-2</v>
      </c>
      <c r="T10">
        <v>2.2960000000000001E-2</v>
      </c>
      <c r="U10">
        <v>4.3702999999999999E-2</v>
      </c>
    </row>
    <row r="11" spans="1:21" x14ac:dyDescent="0.25">
      <c r="B11">
        <v>35794286</v>
      </c>
      <c r="C11">
        <v>80975540</v>
      </c>
      <c r="D11">
        <v>362162</v>
      </c>
      <c r="E11">
        <v>1109868</v>
      </c>
      <c r="F11">
        <v>82317018</v>
      </c>
      <c r="G11">
        <v>119201760</v>
      </c>
      <c r="H11">
        <v>1554358</v>
      </c>
      <c r="I11">
        <v>1929150</v>
      </c>
      <c r="J11">
        <v>60.97</v>
      </c>
      <c r="K11">
        <v>102.56</v>
      </c>
      <c r="P11">
        <v>6.1188100000000002E-2</v>
      </c>
      <c r="Q11">
        <v>0.102971751</v>
      </c>
      <c r="R11">
        <v>3.4960999999999999E-2</v>
      </c>
      <c r="S11">
        <v>5.2098999999999999E-2</v>
      </c>
      <c r="T11">
        <v>2.5954000000000001E-2</v>
      </c>
      <c r="U11">
        <v>4.9015999999999997E-2</v>
      </c>
    </row>
    <row r="12" spans="1:21" x14ac:dyDescent="0.25">
      <c r="B12">
        <v>35716662</v>
      </c>
      <c r="C12">
        <v>80240596</v>
      </c>
      <c r="D12">
        <v>329354</v>
      </c>
      <c r="E12">
        <v>1085508</v>
      </c>
      <c r="F12">
        <v>81904828</v>
      </c>
      <c r="G12">
        <v>114045210</v>
      </c>
      <c r="H12">
        <v>1650694</v>
      </c>
      <c r="I12">
        <v>1878470</v>
      </c>
      <c r="J12">
        <v>60.76</v>
      </c>
      <c r="K12">
        <v>99.76</v>
      </c>
      <c r="P12">
        <v>6.0961570999999999E-2</v>
      </c>
      <c r="Q12">
        <v>0.100041159</v>
      </c>
      <c r="R12">
        <v>3.5582999999999997E-2</v>
      </c>
      <c r="S12">
        <v>5.8535999999999998E-2</v>
      </c>
      <c r="T12">
        <v>2.4695999999999999E-2</v>
      </c>
      <c r="U12">
        <v>4.0635999999999999E-2</v>
      </c>
    </row>
    <row r="13" spans="1:21" x14ac:dyDescent="0.25">
      <c r="B13">
        <f>AVERAGE(B3:B12)</f>
        <v>35775716.399999999</v>
      </c>
      <c r="C13">
        <f t="shared" ref="C13:U13" si="0">AVERAGE(C3:C12)</f>
        <v>80728643.799999997</v>
      </c>
      <c r="D13">
        <f t="shared" si="0"/>
        <v>340294</v>
      </c>
      <c r="E13">
        <f t="shared" si="0"/>
        <v>1113520.6000000001</v>
      </c>
      <c r="F13">
        <f t="shared" si="0"/>
        <v>79724545.400000006</v>
      </c>
      <c r="G13">
        <f t="shared" si="0"/>
        <v>115382401.40000001</v>
      </c>
      <c r="H13">
        <f t="shared" si="0"/>
        <v>1577525.6</v>
      </c>
      <c r="I13">
        <f t="shared" si="0"/>
        <v>1885931.4</v>
      </c>
      <c r="J13">
        <f t="shared" si="0"/>
        <v>59.694000000000003</v>
      </c>
      <c r="K13">
        <f t="shared" si="0"/>
        <v>100.66900000000001</v>
      </c>
      <c r="L13" t="e">
        <f t="shared" si="0"/>
        <v>#DIV/0!</v>
      </c>
      <c r="M13" t="e">
        <f t="shared" si="0"/>
        <v>#DIV/0!</v>
      </c>
      <c r="N13" t="e">
        <f t="shared" si="0"/>
        <v>#DIV/0!</v>
      </c>
      <c r="O13" t="e">
        <f t="shared" si="0"/>
        <v>#DIV/0!</v>
      </c>
      <c r="P13">
        <f t="shared" si="0"/>
        <v>5.9904326299999998E-2</v>
      </c>
      <c r="Q13">
        <f t="shared" si="0"/>
        <v>0.10093148389999999</v>
      </c>
      <c r="R13">
        <f t="shared" si="0"/>
        <v>3.4405000000000005E-2</v>
      </c>
      <c r="S13">
        <f t="shared" si="0"/>
        <v>5.6557800000000005E-2</v>
      </c>
      <c r="T13">
        <f t="shared" si="0"/>
        <v>2.5118900000000007E-2</v>
      </c>
      <c r="U13">
        <f t="shared" si="0"/>
        <v>4.3216500000000005E-2</v>
      </c>
    </row>
    <row r="14" spans="1:21" x14ac:dyDescent="0.25">
      <c r="C14">
        <f>100*C13/B13</f>
        <v>225.65206772491075</v>
      </c>
      <c r="E14">
        <f>100*E13/D13</f>
        <v>327.22310707799733</v>
      </c>
      <c r="G14">
        <f>100*G13/F13</f>
        <v>144.72632088536184</v>
      </c>
      <c r="I14">
        <f>100*I13/H13</f>
        <v>119.54997117003995</v>
      </c>
      <c r="K14">
        <f>100*K13/J13</f>
        <v>168.64173953831207</v>
      </c>
      <c r="M14" t="e">
        <f>100*M13/L13</f>
        <v>#DIV/0!</v>
      </c>
      <c r="O14" t="e">
        <f>100*O13/N13</f>
        <v>#DIV/0!</v>
      </c>
      <c r="Q14">
        <f>100*Q13/P13</f>
        <v>168.48780402693552</v>
      </c>
      <c r="S14">
        <f>100*S13/R13</f>
        <v>164.38831565179481</v>
      </c>
      <c r="U14">
        <f>100*U13/T13</f>
        <v>172.04774094407</v>
      </c>
    </row>
    <row r="16" spans="1:21" x14ac:dyDescent="0.25">
      <c r="A16" t="s">
        <v>107</v>
      </c>
      <c r="B16" t="s">
        <v>81</v>
      </c>
      <c r="C16" t="s">
        <v>82</v>
      </c>
      <c r="D16" t="s">
        <v>81</v>
      </c>
      <c r="E16" t="s">
        <v>82</v>
      </c>
      <c r="F16" t="s">
        <v>81</v>
      </c>
      <c r="G16" t="s">
        <v>82</v>
      </c>
      <c r="H16" t="s">
        <v>81</v>
      </c>
      <c r="I16" t="s">
        <v>82</v>
      </c>
      <c r="J16" t="s">
        <v>81</v>
      </c>
      <c r="K16" t="s">
        <v>82</v>
      </c>
      <c r="L16" t="s">
        <v>81</v>
      </c>
      <c r="M16" t="s">
        <v>82</v>
      </c>
      <c r="N16" t="s">
        <v>81</v>
      </c>
      <c r="O16" t="s">
        <v>82</v>
      </c>
      <c r="P16" t="s">
        <v>81</v>
      </c>
      <c r="Q16" t="s">
        <v>82</v>
      </c>
      <c r="R16" t="s">
        <v>81</v>
      </c>
      <c r="S16" t="s">
        <v>82</v>
      </c>
      <c r="T16" t="s">
        <v>81</v>
      </c>
      <c r="U16" t="s">
        <v>82</v>
      </c>
    </row>
    <row r="17" spans="2:21" x14ac:dyDescent="0.25">
      <c r="B17" t="s">
        <v>112</v>
      </c>
      <c r="C17" t="s">
        <v>112</v>
      </c>
      <c r="D17" t="s">
        <v>92</v>
      </c>
      <c r="E17" t="s">
        <v>92</v>
      </c>
      <c r="F17" t="s">
        <v>83</v>
      </c>
      <c r="G17" t="s">
        <v>83</v>
      </c>
      <c r="H17" t="s">
        <v>84</v>
      </c>
      <c r="I17" t="s">
        <v>84</v>
      </c>
      <c r="J17" t="s">
        <v>85</v>
      </c>
      <c r="K17" t="s">
        <v>85</v>
      </c>
      <c r="L17" t="s">
        <v>86</v>
      </c>
      <c r="M17" t="s">
        <v>86</v>
      </c>
      <c r="N17" t="s">
        <v>87</v>
      </c>
      <c r="O17" t="s">
        <v>87</v>
      </c>
      <c r="P17" t="s">
        <v>88</v>
      </c>
      <c r="Q17" t="s">
        <v>88</v>
      </c>
      <c r="R17" t="s">
        <v>4</v>
      </c>
      <c r="S17" t="s">
        <v>4</v>
      </c>
      <c r="T17" t="s">
        <v>6</v>
      </c>
      <c r="U17" t="s">
        <v>6</v>
      </c>
    </row>
    <row r="18" spans="2:21" x14ac:dyDescent="0.25">
      <c r="B18">
        <v>8123132</v>
      </c>
      <c r="C18">
        <v>8456402</v>
      </c>
      <c r="D18">
        <v>83926</v>
      </c>
      <c r="E18">
        <v>86484</v>
      </c>
      <c r="F18">
        <v>1957342</v>
      </c>
      <c r="G18">
        <v>2937734</v>
      </c>
      <c r="H18">
        <v>312676</v>
      </c>
      <c r="I18">
        <v>332606</v>
      </c>
      <c r="J18">
        <v>6.56</v>
      </c>
      <c r="K18">
        <v>7.41</v>
      </c>
      <c r="P18">
        <v>6.7687010000000002E-3</v>
      </c>
      <c r="Q18">
        <v>7.6136240000000003E-3</v>
      </c>
      <c r="R18">
        <v>2.2369999999999998E-3</v>
      </c>
      <c r="S18">
        <v>3.2230000000000002E-3</v>
      </c>
      <c r="T18">
        <v>4.4419999999999998E-3</v>
      </c>
      <c r="U18">
        <v>4.2830000000000003E-3</v>
      </c>
    </row>
    <row r="19" spans="2:21" x14ac:dyDescent="0.25">
      <c r="B19">
        <v>8122416</v>
      </c>
      <c r="C19">
        <v>8302548</v>
      </c>
      <c r="D19">
        <v>82816</v>
      </c>
      <c r="E19">
        <v>84970</v>
      </c>
      <c r="F19">
        <v>2136198</v>
      </c>
      <c r="G19">
        <v>2595906</v>
      </c>
      <c r="H19">
        <v>317194</v>
      </c>
      <c r="I19">
        <v>348842</v>
      </c>
      <c r="J19">
        <v>6.65</v>
      </c>
      <c r="K19">
        <v>7.11</v>
      </c>
      <c r="P19">
        <v>6.840924E-3</v>
      </c>
      <c r="Q19">
        <v>7.3376140000000001E-3</v>
      </c>
      <c r="R19">
        <v>2.2599999999999999E-3</v>
      </c>
      <c r="S19">
        <v>3.0959999999999998E-3</v>
      </c>
      <c r="T19">
        <v>4.5250000000000004E-3</v>
      </c>
      <c r="U19">
        <v>4.1240000000000001E-3</v>
      </c>
    </row>
    <row r="20" spans="2:21" x14ac:dyDescent="0.25">
      <c r="B20">
        <v>7809854</v>
      </c>
      <c r="C20">
        <v>8406886</v>
      </c>
      <c r="D20">
        <v>83032</v>
      </c>
      <c r="E20">
        <v>83226</v>
      </c>
      <c r="G20">
        <v>2537188</v>
      </c>
      <c r="H20">
        <v>301376</v>
      </c>
      <c r="I20">
        <v>371390</v>
      </c>
      <c r="J20">
        <v>17.34</v>
      </c>
      <c r="K20">
        <v>7.16</v>
      </c>
      <c r="P20">
        <v>1.7542420999999999E-2</v>
      </c>
      <c r="Q20">
        <v>7.371308E-3</v>
      </c>
      <c r="R20">
        <v>1.1638000000000001E-2</v>
      </c>
      <c r="S20">
        <v>2.078E-3</v>
      </c>
      <c r="T20">
        <v>5.8060000000000004E-3</v>
      </c>
      <c r="U20">
        <v>5.1840000000000002E-3</v>
      </c>
    </row>
    <row r="21" spans="2:21" x14ac:dyDescent="0.25">
      <c r="B21">
        <v>7791290</v>
      </c>
      <c r="C21">
        <v>8508758</v>
      </c>
      <c r="D21">
        <v>87036</v>
      </c>
      <c r="E21">
        <v>88996</v>
      </c>
      <c r="F21">
        <v>1882650</v>
      </c>
      <c r="G21">
        <v>5713516</v>
      </c>
      <c r="H21">
        <v>299046</v>
      </c>
      <c r="I21">
        <v>326562</v>
      </c>
      <c r="J21">
        <v>6.36</v>
      </c>
      <c r="K21">
        <v>8.82</v>
      </c>
      <c r="P21">
        <v>6.5433560000000002E-3</v>
      </c>
      <c r="Q21">
        <v>9.0526719999999995E-3</v>
      </c>
      <c r="R21">
        <v>3.2460000000000002E-3</v>
      </c>
      <c r="S21">
        <v>5.927E-3</v>
      </c>
      <c r="T21">
        <v>3.2439999999999999E-3</v>
      </c>
      <c r="U21">
        <v>2.9580000000000001E-3</v>
      </c>
    </row>
    <row r="22" spans="2:21" x14ac:dyDescent="0.25">
      <c r="B22">
        <v>7977058</v>
      </c>
      <c r="C22">
        <v>8541474</v>
      </c>
      <c r="D22">
        <v>86576</v>
      </c>
      <c r="E22">
        <v>86986</v>
      </c>
      <c r="G22">
        <v>3517672</v>
      </c>
      <c r="H22">
        <v>313996</v>
      </c>
      <c r="I22">
        <v>347668</v>
      </c>
      <c r="J22">
        <v>18.11</v>
      </c>
      <c r="K22">
        <v>7.74</v>
      </c>
      <c r="P22">
        <v>1.8310455999999999E-2</v>
      </c>
      <c r="Q22">
        <v>7.9805280000000006E-3</v>
      </c>
      <c r="R22">
        <v>1.0127000000000001E-2</v>
      </c>
      <c r="S22">
        <v>3.3670000000000002E-3</v>
      </c>
      <c r="T22">
        <v>8.0800000000000004E-3</v>
      </c>
      <c r="U22">
        <v>4.4739999999999997E-3</v>
      </c>
    </row>
    <row r="23" spans="2:21" x14ac:dyDescent="0.25">
      <c r="B23">
        <v>8030860</v>
      </c>
      <c r="C23">
        <v>8354022</v>
      </c>
      <c r="D23">
        <v>82154</v>
      </c>
      <c r="E23">
        <v>89388</v>
      </c>
      <c r="F23">
        <v>2766206</v>
      </c>
      <c r="G23">
        <v>2112880</v>
      </c>
      <c r="H23">
        <v>322842</v>
      </c>
      <c r="I23">
        <v>334260</v>
      </c>
      <c r="J23">
        <v>6.96</v>
      </c>
      <c r="K23">
        <v>6.99</v>
      </c>
      <c r="P23">
        <v>7.1450949999999997E-3</v>
      </c>
      <c r="Q23">
        <v>7.268816E-3</v>
      </c>
      <c r="R23">
        <v>2.0219999999999999E-3</v>
      </c>
      <c r="S23">
        <v>3.0430000000000001E-3</v>
      </c>
      <c r="T23">
        <v>5.0559999999999997E-3</v>
      </c>
      <c r="U23">
        <v>4.0419999999999996E-3</v>
      </c>
    </row>
    <row r="24" spans="2:21" x14ac:dyDescent="0.25">
      <c r="B24">
        <v>7846140</v>
      </c>
      <c r="C24">
        <v>8466068</v>
      </c>
      <c r="D24">
        <v>81328</v>
      </c>
      <c r="E24">
        <v>83872</v>
      </c>
      <c r="F24">
        <v>2673162</v>
      </c>
      <c r="G24">
        <v>2285212</v>
      </c>
      <c r="H24">
        <v>309582</v>
      </c>
      <c r="I24">
        <v>321846</v>
      </c>
      <c r="J24">
        <v>6.77</v>
      </c>
      <c r="K24">
        <v>7.07</v>
      </c>
      <c r="P24">
        <v>6.9626030000000004E-3</v>
      </c>
      <c r="Q24">
        <v>7.2755459999999999E-3</v>
      </c>
      <c r="R24">
        <v>1.9719999999999998E-3</v>
      </c>
      <c r="S24">
        <v>4.0949999999999997E-3</v>
      </c>
      <c r="T24">
        <v>4.9410000000000001E-3</v>
      </c>
      <c r="U24">
        <v>3.0739999999999999E-3</v>
      </c>
    </row>
    <row r="25" spans="2:21" x14ac:dyDescent="0.25">
      <c r="B25">
        <v>7828510</v>
      </c>
      <c r="C25">
        <v>8284558</v>
      </c>
      <c r="D25">
        <v>82966</v>
      </c>
      <c r="E25">
        <v>88178</v>
      </c>
      <c r="F25">
        <v>2257138</v>
      </c>
      <c r="G25">
        <v>2364248</v>
      </c>
      <c r="H25">
        <v>306852</v>
      </c>
      <c r="I25">
        <v>356690</v>
      </c>
      <c r="J25">
        <v>6.56</v>
      </c>
      <c r="K25">
        <v>7.08</v>
      </c>
      <c r="P25">
        <v>6.7445939999999996E-3</v>
      </c>
      <c r="Q25">
        <v>7.2896740000000003E-3</v>
      </c>
      <c r="R25">
        <v>5.581E-3</v>
      </c>
      <c r="S25">
        <v>3.0620000000000001E-3</v>
      </c>
      <c r="T25">
        <v>1.1130000000000001E-3</v>
      </c>
      <c r="U25">
        <v>4.0959999999999998E-3</v>
      </c>
    </row>
    <row r="26" spans="2:21" x14ac:dyDescent="0.25">
      <c r="B26">
        <v>8050248</v>
      </c>
      <c r="C26">
        <v>8454312</v>
      </c>
      <c r="D26">
        <v>93832</v>
      </c>
      <c r="E26">
        <v>84432</v>
      </c>
      <c r="F26">
        <v>2553178</v>
      </c>
      <c r="G26">
        <v>2859782</v>
      </c>
      <c r="H26">
        <v>302896</v>
      </c>
      <c r="I26">
        <v>326948</v>
      </c>
      <c r="J26">
        <v>6.83</v>
      </c>
      <c r="K26">
        <v>7.36</v>
      </c>
      <c r="P26">
        <v>7.0205980000000003E-3</v>
      </c>
      <c r="Q26">
        <v>7.569101E-3</v>
      </c>
      <c r="R26">
        <v>2.9889999999999999E-3</v>
      </c>
      <c r="S26">
        <v>5.3270000000000001E-3</v>
      </c>
      <c r="T26">
        <v>3.9709999999999997E-3</v>
      </c>
      <c r="U26">
        <v>2.134E-3</v>
      </c>
    </row>
    <row r="27" spans="2:21" x14ac:dyDescent="0.25">
      <c r="B27">
        <v>7880800</v>
      </c>
      <c r="C27">
        <v>8398914</v>
      </c>
      <c r="D27">
        <v>82736</v>
      </c>
      <c r="E27">
        <v>84976</v>
      </c>
      <c r="F27">
        <v>2851484</v>
      </c>
      <c r="G27">
        <v>2834508</v>
      </c>
      <c r="H27">
        <v>330572</v>
      </c>
      <c r="I27">
        <v>379452</v>
      </c>
      <c r="J27">
        <v>6.9</v>
      </c>
      <c r="K27">
        <v>7.39</v>
      </c>
      <c r="P27">
        <v>7.0874909999999996E-3</v>
      </c>
      <c r="Q27">
        <v>7.6022449999999997E-3</v>
      </c>
      <c r="R27">
        <v>3.0130000000000001E-3</v>
      </c>
      <c r="S27">
        <v>3.725E-3</v>
      </c>
      <c r="T27">
        <v>4.0150000000000003E-3</v>
      </c>
      <c r="U27">
        <v>3.722E-3</v>
      </c>
    </row>
    <row r="28" spans="2:21" x14ac:dyDescent="0.25">
      <c r="B28">
        <f>AVERAGE(B18:B27)</f>
        <v>7946030.7999999998</v>
      </c>
      <c r="C28">
        <f t="shared" ref="C28:U28" si="1">AVERAGE(C18:C27)</f>
        <v>8417394.1999999993</v>
      </c>
      <c r="D28">
        <f t="shared" si="1"/>
        <v>84640.2</v>
      </c>
      <c r="E28">
        <f t="shared" si="1"/>
        <v>86150.8</v>
      </c>
      <c r="F28">
        <f t="shared" si="1"/>
        <v>2384669.75</v>
      </c>
      <c r="G28">
        <f t="shared" si="1"/>
        <v>2975864.6</v>
      </c>
      <c r="H28">
        <f t="shared" si="1"/>
        <v>311703.2</v>
      </c>
      <c r="I28">
        <f t="shared" si="1"/>
        <v>344626.4</v>
      </c>
      <c r="J28">
        <f t="shared" si="1"/>
        <v>8.9039999999999999</v>
      </c>
      <c r="K28">
        <f t="shared" si="1"/>
        <v>7.4130000000000011</v>
      </c>
      <c r="L28" t="e">
        <f t="shared" si="1"/>
        <v>#DIV/0!</v>
      </c>
      <c r="M28" t="e">
        <f t="shared" si="1"/>
        <v>#DIV/0!</v>
      </c>
      <c r="N28" t="e">
        <f t="shared" si="1"/>
        <v>#DIV/0!</v>
      </c>
      <c r="O28" t="e">
        <f t="shared" si="1"/>
        <v>#DIV/0!</v>
      </c>
      <c r="P28">
        <f t="shared" si="1"/>
        <v>9.0966239000000015E-3</v>
      </c>
      <c r="Q28">
        <f t="shared" si="1"/>
        <v>7.636112799999999E-3</v>
      </c>
      <c r="R28">
        <f t="shared" si="1"/>
        <v>4.5085000000000004E-3</v>
      </c>
      <c r="S28">
        <f t="shared" si="1"/>
        <v>3.6942999999999998E-3</v>
      </c>
      <c r="T28">
        <f t="shared" si="1"/>
        <v>4.5193000000000004E-3</v>
      </c>
      <c r="U28">
        <f t="shared" si="1"/>
        <v>3.8091000000000002E-3</v>
      </c>
    </row>
    <row r="29" spans="2:21" x14ac:dyDescent="0.25">
      <c r="C29">
        <f>100*C28/B28</f>
        <v>105.93206107381309</v>
      </c>
      <c r="E29">
        <f>100*E28/D28</f>
        <v>101.78473113248788</v>
      </c>
      <c r="G29">
        <f>100*G28/F28</f>
        <v>124.79147689108733</v>
      </c>
      <c r="I29">
        <f>100*I28/H28</f>
        <v>110.56235547148698</v>
      </c>
      <c r="K29">
        <f>100*K28/J28</f>
        <v>83.254716981132077</v>
      </c>
      <c r="M29" t="e">
        <f>100*M28/L28</f>
        <v>#DIV/0!</v>
      </c>
      <c r="O29" t="e">
        <f>100*O28/N28</f>
        <v>#DIV/0!</v>
      </c>
      <c r="Q29">
        <f>100*Q28/P28</f>
        <v>83.944470871220673</v>
      </c>
      <c r="S29">
        <f>100*S28/R28</f>
        <v>81.940778529444373</v>
      </c>
      <c r="U29">
        <f>100*U28/T28</f>
        <v>84.285176907928218</v>
      </c>
    </row>
    <row r="31" spans="2:21" x14ac:dyDescent="0.25">
      <c r="C31" t="s">
        <v>123</v>
      </c>
      <c r="D31">
        <v>4</v>
      </c>
    </row>
    <row r="90" spans="1:21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  <c r="T90" t="s">
        <v>81</v>
      </c>
      <c r="U90" t="s">
        <v>82</v>
      </c>
    </row>
    <row r="91" spans="1:21" x14ac:dyDescent="0.25">
      <c r="B91" t="s">
        <v>112</v>
      </c>
      <c r="C91" t="s">
        <v>112</v>
      </c>
      <c r="D91" t="s">
        <v>92</v>
      </c>
      <c r="E91" t="s">
        <v>92</v>
      </c>
      <c r="F91" t="s">
        <v>83</v>
      </c>
      <c r="G91" t="s">
        <v>83</v>
      </c>
      <c r="H91" t="s">
        <v>84</v>
      </c>
      <c r="I91" t="s">
        <v>84</v>
      </c>
      <c r="J91" t="s">
        <v>85</v>
      </c>
      <c r="K91" t="s">
        <v>85</v>
      </c>
      <c r="L91" t="s">
        <v>86</v>
      </c>
      <c r="M91" t="s">
        <v>86</v>
      </c>
      <c r="N91" t="s">
        <v>87</v>
      </c>
      <c r="O91" t="s">
        <v>87</v>
      </c>
      <c r="P91" t="s">
        <v>88</v>
      </c>
      <c r="Q91" t="s">
        <v>88</v>
      </c>
      <c r="R91" t="s">
        <v>4</v>
      </c>
      <c r="S91" t="s">
        <v>4</v>
      </c>
      <c r="T91" t="s">
        <v>6</v>
      </c>
      <c r="U91" t="s">
        <v>6</v>
      </c>
    </row>
    <row r="92" spans="1:21" x14ac:dyDescent="0.25">
      <c r="B92">
        <v>32328414</v>
      </c>
      <c r="C92">
        <v>75822642</v>
      </c>
      <c r="F92">
        <v>75902294</v>
      </c>
      <c r="G92">
        <v>109934730</v>
      </c>
      <c r="H92">
        <v>1573394</v>
      </c>
      <c r="I92">
        <v>1900814</v>
      </c>
      <c r="J92">
        <v>55.92</v>
      </c>
      <c r="K92">
        <v>95.01</v>
      </c>
      <c r="P92">
        <v>5.6110545999999997E-2</v>
      </c>
      <c r="Q92">
        <v>9.5221429999999996E-2</v>
      </c>
      <c r="R92">
        <v>3.2958000000000001E-2</v>
      </c>
      <c r="S92">
        <v>5.5053999999999999E-2</v>
      </c>
      <c r="T92">
        <v>2.2952E-2</v>
      </c>
      <c r="U92">
        <v>3.9296999999999999E-2</v>
      </c>
    </row>
    <row r="93" spans="1:21" x14ac:dyDescent="0.25">
      <c r="B93">
        <v>32266690</v>
      </c>
      <c r="C93">
        <v>75881138</v>
      </c>
      <c r="F93">
        <v>78092754</v>
      </c>
      <c r="G93">
        <v>118387248</v>
      </c>
      <c r="H93">
        <v>1539070</v>
      </c>
      <c r="I93">
        <v>1900834</v>
      </c>
      <c r="J93">
        <v>56.94</v>
      </c>
      <c r="K93">
        <v>99.23</v>
      </c>
      <c r="P93">
        <v>5.7136787000000001E-2</v>
      </c>
      <c r="Q93">
        <v>9.9462516000000001E-2</v>
      </c>
      <c r="R93">
        <v>2.8878999999999998E-2</v>
      </c>
      <c r="S93">
        <v>5.6127999999999997E-2</v>
      </c>
      <c r="T93">
        <v>2.7878E-2</v>
      </c>
      <c r="U93">
        <v>4.2304000000000001E-2</v>
      </c>
    </row>
    <row r="94" spans="1:21" x14ac:dyDescent="0.25">
      <c r="B94">
        <v>32516864</v>
      </c>
      <c r="C94">
        <v>76114206</v>
      </c>
      <c r="F94">
        <v>79507662</v>
      </c>
      <c r="G94">
        <v>114848458</v>
      </c>
      <c r="H94">
        <v>1534496</v>
      </c>
      <c r="I94">
        <v>1819994</v>
      </c>
      <c r="J94">
        <v>57.72</v>
      </c>
      <c r="K94">
        <v>97.49</v>
      </c>
      <c r="P94">
        <v>5.7927731000000003E-2</v>
      </c>
      <c r="Q94">
        <v>9.7719644999999994E-2</v>
      </c>
      <c r="R94">
        <v>3.3835999999999998E-2</v>
      </c>
      <c r="S94">
        <v>5.4633000000000001E-2</v>
      </c>
      <c r="T94">
        <v>2.3858999999999998E-2</v>
      </c>
      <c r="U94">
        <v>4.1689999999999998E-2</v>
      </c>
    </row>
    <row r="95" spans="1:21" x14ac:dyDescent="0.25">
      <c r="B95">
        <v>32315394</v>
      </c>
      <c r="C95">
        <v>76336934</v>
      </c>
      <c r="F95">
        <v>76804984</v>
      </c>
      <c r="G95">
        <v>107104260</v>
      </c>
      <c r="H95">
        <v>1542320</v>
      </c>
      <c r="I95">
        <v>1832734</v>
      </c>
      <c r="J95">
        <v>56.26</v>
      </c>
      <c r="K95">
        <v>93.8</v>
      </c>
      <c r="P95">
        <v>5.6478929999999997E-2</v>
      </c>
      <c r="Q95">
        <v>9.4010229000000001E-2</v>
      </c>
      <c r="R95">
        <v>3.1955999999999998E-2</v>
      </c>
      <c r="S95">
        <v>5.1207000000000003E-2</v>
      </c>
      <c r="T95">
        <v>2.3937E-2</v>
      </c>
      <c r="U95">
        <v>4.1320999999999997E-2</v>
      </c>
    </row>
    <row r="96" spans="1:21" x14ac:dyDescent="0.25">
      <c r="B96">
        <v>32822176</v>
      </c>
      <c r="C96">
        <v>75771202</v>
      </c>
      <c r="F96">
        <v>85964938</v>
      </c>
      <c r="G96">
        <v>112442862</v>
      </c>
      <c r="H96">
        <v>1723082</v>
      </c>
      <c r="I96">
        <v>1816280</v>
      </c>
      <c r="J96">
        <v>61.18</v>
      </c>
      <c r="K96">
        <v>96.15</v>
      </c>
      <c r="P96">
        <v>6.1400126999999999E-2</v>
      </c>
      <c r="Q96">
        <v>9.6361100000000005E-2</v>
      </c>
      <c r="R96">
        <v>3.5486999999999998E-2</v>
      </c>
      <c r="S96">
        <v>5.2488E-2</v>
      </c>
      <c r="T96">
        <v>2.5610999999999998E-2</v>
      </c>
      <c r="U96">
        <v>4.2560000000000001E-2</v>
      </c>
    </row>
    <row r="97" spans="2:21" x14ac:dyDescent="0.25">
      <c r="B97">
        <v>32286464</v>
      </c>
      <c r="C97">
        <v>75170946</v>
      </c>
      <c r="F97">
        <v>78366680</v>
      </c>
      <c r="G97">
        <v>113742774</v>
      </c>
      <c r="H97">
        <v>1572642</v>
      </c>
      <c r="I97">
        <v>1833250</v>
      </c>
      <c r="J97">
        <v>57.09</v>
      </c>
      <c r="K97">
        <v>96.49</v>
      </c>
      <c r="P97">
        <v>5.7286222999999997E-2</v>
      </c>
      <c r="Q97">
        <v>9.6698096999999997E-2</v>
      </c>
      <c r="R97">
        <v>2.9961000000000002E-2</v>
      </c>
      <c r="S97">
        <v>5.0652000000000003E-2</v>
      </c>
      <c r="T97">
        <v>2.6936999999999999E-2</v>
      </c>
      <c r="U97">
        <v>4.4660999999999999E-2</v>
      </c>
    </row>
    <row r="98" spans="2:21" x14ac:dyDescent="0.25">
      <c r="B98">
        <v>32551504</v>
      </c>
      <c r="C98">
        <v>75431766</v>
      </c>
      <c r="F98">
        <v>79892724</v>
      </c>
      <c r="G98">
        <v>115715906</v>
      </c>
      <c r="H98">
        <v>1521536</v>
      </c>
      <c r="I98">
        <v>1836384</v>
      </c>
      <c r="J98">
        <v>57.92</v>
      </c>
      <c r="K98">
        <v>97.61</v>
      </c>
      <c r="P98">
        <v>5.8127919E-2</v>
      </c>
      <c r="Q98">
        <v>9.7815543000000005E-2</v>
      </c>
      <c r="R98">
        <v>3.1413999999999997E-2</v>
      </c>
      <c r="S98">
        <v>5.8384999999999999E-2</v>
      </c>
      <c r="T98">
        <v>2.6492000000000002E-2</v>
      </c>
      <c r="U98">
        <v>3.8565000000000002E-2</v>
      </c>
    </row>
    <row r="99" spans="2:21" x14ac:dyDescent="0.25">
      <c r="B99">
        <v>32727020</v>
      </c>
      <c r="C99">
        <v>75940348</v>
      </c>
      <c r="F99">
        <v>77891744</v>
      </c>
      <c r="G99">
        <v>113702358</v>
      </c>
      <c r="H99">
        <v>1523776</v>
      </c>
      <c r="I99">
        <v>1847418</v>
      </c>
      <c r="J99">
        <v>57.01</v>
      </c>
      <c r="K99">
        <v>96.87</v>
      </c>
      <c r="P99">
        <v>5.7227653000000003E-2</v>
      </c>
      <c r="Q99">
        <v>9.7137277999999994E-2</v>
      </c>
      <c r="R99">
        <v>2.8486999999999998E-2</v>
      </c>
      <c r="S99">
        <v>4.7359999999999999E-2</v>
      </c>
      <c r="T99">
        <v>2.8473999999999999E-2</v>
      </c>
      <c r="U99">
        <v>4.8293999999999997E-2</v>
      </c>
    </row>
    <row r="100" spans="2:21" x14ac:dyDescent="0.25">
      <c r="B100">
        <v>32322298</v>
      </c>
      <c r="C100">
        <v>76108688</v>
      </c>
      <c r="F100">
        <v>84233424</v>
      </c>
      <c r="G100">
        <v>111782934</v>
      </c>
      <c r="H100">
        <v>1603684</v>
      </c>
      <c r="I100">
        <v>1829782</v>
      </c>
      <c r="J100">
        <v>60.01</v>
      </c>
      <c r="K100">
        <v>95.97</v>
      </c>
      <c r="P100">
        <v>6.0241093000000002E-2</v>
      </c>
      <c r="Q100">
        <v>9.6177453999999996E-2</v>
      </c>
      <c r="R100">
        <v>3.193E-2</v>
      </c>
      <c r="S100">
        <v>5.4625E-2</v>
      </c>
      <c r="T100">
        <v>2.7931999999999998E-2</v>
      </c>
      <c r="U100">
        <v>4.0703000000000003E-2</v>
      </c>
    </row>
    <row r="101" spans="2:21" x14ac:dyDescent="0.25">
      <c r="B101">
        <v>32337612</v>
      </c>
      <c r="C101">
        <v>75583892</v>
      </c>
      <c r="F101">
        <v>80305500</v>
      </c>
      <c r="G101">
        <v>118420270</v>
      </c>
      <c r="H101">
        <v>1508938</v>
      </c>
      <c r="I101">
        <v>1900960</v>
      </c>
      <c r="J101">
        <v>58.03</v>
      </c>
      <c r="K101">
        <v>99.05</v>
      </c>
      <c r="P101">
        <v>5.8223863000000001E-2</v>
      </c>
      <c r="Q101">
        <v>9.9283749000000004E-2</v>
      </c>
      <c r="R101">
        <v>3.2018999999999999E-2</v>
      </c>
      <c r="S101">
        <v>5.2417999999999999E-2</v>
      </c>
      <c r="T101">
        <v>2.5992999999999999E-2</v>
      </c>
      <c r="U101">
        <v>4.5451999999999999E-2</v>
      </c>
    </row>
    <row r="102" spans="2:21" x14ac:dyDescent="0.25">
      <c r="B102">
        <f>AVERAGE(B92:B101)</f>
        <v>32447443.600000001</v>
      </c>
      <c r="C102">
        <f t="shared" ref="C102:U102" si="2">AVERAGE(C92:C101)</f>
        <v>75816176.200000003</v>
      </c>
      <c r="D102" t="e">
        <f t="shared" si="2"/>
        <v>#DIV/0!</v>
      </c>
      <c r="E102" t="e">
        <f t="shared" si="2"/>
        <v>#DIV/0!</v>
      </c>
      <c r="F102">
        <f t="shared" si="2"/>
        <v>79696270.400000006</v>
      </c>
      <c r="G102">
        <f t="shared" si="2"/>
        <v>113608180</v>
      </c>
      <c r="H102">
        <f t="shared" si="2"/>
        <v>1564293.8</v>
      </c>
      <c r="I102">
        <f t="shared" si="2"/>
        <v>1851845</v>
      </c>
      <c r="J102">
        <f t="shared" si="2"/>
        <v>57.808000000000007</v>
      </c>
      <c r="K102">
        <f t="shared" si="2"/>
        <v>96.76700000000001</v>
      </c>
      <c r="L102" t="e">
        <f t="shared" si="2"/>
        <v>#DIV/0!</v>
      </c>
      <c r="M102" t="e">
        <f t="shared" si="2"/>
        <v>#DIV/0!</v>
      </c>
      <c r="N102" t="e">
        <f t="shared" si="2"/>
        <v>#DIV/0!</v>
      </c>
      <c r="O102" t="e">
        <f t="shared" si="2"/>
        <v>#DIV/0!</v>
      </c>
      <c r="P102">
        <f t="shared" si="2"/>
        <v>5.8016087200000011E-2</v>
      </c>
      <c r="Q102">
        <f t="shared" si="2"/>
        <v>9.6988704100000003E-2</v>
      </c>
      <c r="R102">
        <f t="shared" si="2"/>
        <v>3.1692700000000004E-2</v>
      </c>
      <c r="S102">
        <f t="shared" si="2"/>
        <v>5.3294999999999995E-2</v>
      </c>
      <c r="T102">
        <f t="shared" si="2"/>
        <v>2.6006499999999998E-2</v>
      </c>
      <c r="U102">
        <f t="shared" si="2"/>
        <v>4.24847E-2</v>
      </c>
    </row>
    <row r="103" spans="2:21" x14ac:dyDescent="0.25">
      <c r="C103">
        <f>100*C102/B102</f>
        <v>233.65839581889279</v>
      </c>
      <c r="G103">
        <f>100*G102/F102</f>
        <v>142.55143864298071</v>
      </c>
      <c r="I103">
        <f>100*I102/H102</f>
        <v>118.38217347661929</v>
      </c>
      <c r="K103">
        <f>100*K102/J102</f>
        <v>167.39378632715196</v>
      </c>
      <c r="Q103">
        <f>100*Q102/P102</f>
        <v>167.1755348919842</v>
      </c>
      <c r="S103">
        <f>100*S102/R102</f>
        <v>168.16175333751931</v>
      </c>
      <c r="U103">
        <f>100*U102/T102</f>
        <v>163.36185184473115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93469-6A6F-4DBC-BF27-DFCEB2B89C0F}">
  <dimension ref="A1:AG103"/>
  <sheetViews>
    <sheetView topLeftCell="A79" workbookViewId="0">
      <selection activeCell="A85" sqref="A85"/>
    </sheetView>
  </sheetViews>
  <sheetFormatPr defaultRowHeight="15" x14ac:dyDescent="0.25"/>
  <sheetData>
    <row r="1" spans="1:33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  <c r="T1" t="s">
        <v>81</v>
      </c>
      <c r="U1" t="s">
        <v>82</v>
      </c>
      <c r="V1" t="s">
        <v>81</v>
      </c>
      <c r="W1" t="s">
        <v>82</v>
      </c>
      <c r="X1" t="s">
        <v>81</v>
      </c>
      <c r="Y1" t="s">
        <v>82</v>
      </c>
      <c r="Z1" t="s">
        <v>81</v>
      </c>
      <c r="AA1" t="s">
        <v>82</v>
      </c>
      <c r="AB1" t="s">
        <v>81</v>
      </c>
      <c r="AC1" t="s">
        <v>82</v>
      </c>
      <c r="AD1" t="s">
        <v>81</v>
      </c>
      <c r="AE1" t="s">
        <v>82</v>
      </c>
      <c r="AF1" t="s">
        <v>81</v>
      </c>
      <c r="AG1" t="s">
        <v>82</v>
      </c>
    </row>
    <row r="2" spans="1:33" x14ac:dyDescent="0.25">
      <c r="B2" t="s">
        <v>112</v>
      </c>
      <c r="C2" t="s">
        <v>112</v>
      </c>
      <c r="D2" t="s">
        <v>99</v>
      </c>
      <c r="E2" t="s">
        <v>99</v>
      </c>
      <c r="F2" t="s">
        <v>100</v>
      </c>
      <c r="G2" t="s">
        <v>100</v>
      </c>
      <c r="H2" t="s">
        <v>101</v>
      </c>
      <c r="I2" t="s">
        <v>101</v>
      </c>
      <c r="J2" t="s">
        <v>84</v>
      </c>
      <c r="K2" t="s">
        <v>84</v>
      </c>
      <c r="L2" t="s">
        <v>112</v>
      </c>
      <c r="M2" t="s">
        <v>112</v>
      </c>
      <c r="N2" t="s">
        <v>99</v>
      </c>
      <c r="O2" t="s">
        <v>99</v>
      </c>
      <c r="P2" t="s">
        <v>102</v>
      </c>
      <c r="Q2" t="s">
        <v>102</v>
      </c>
      <c r="R2" t="s">
        <v>103</v>
      </c>
      <c r="S2" t="s">
        <v>103</v>
      </c>
      <c r="T2" t="s">
        <v>84</v>
      </c>
      <c r="U2" t="s">
        <v>84</v>
      </c>
      <c r="V2" t="s">
        <v>85</v>
      </c>
      <c r="W2" t="s">
        <v>85</v>
      </c>
      <c r="X2" t="s">
        <v>86</v>
      </c>
      <c r="Y2" t="s">
        <v>86</v>
      </c>
      <c r="Z2" t="s">
        <v>87</v>
      </c>
      <c r="AA2" t="s">
        <v>87</v>
      </c>
      <c r="AB2" t="s">
        <v>88</v>
      </c>
      <c r="AC2" t="s">
        <v>88</v>
      </c>
      <c r="AD2" t="s">
        <v>4</v>
      </c>
      <c r="AE2" t="s">
        <v>4</v>
      </c>
      <c r="AF2" t="s">
        <v>6</v>
      </c>
      <c r="AG2" t="s">
        <v>6</v>
      </c>
    </row>
    <row r="3" spans="1:33" x14ac:dyDescent="0.25">
      <c r="B3">
        <v>18676890</v>
      </c>
      <c r="C3">
        <v>48034532</v>
      </c>
      <c r="D3">
        <v>57092</v>
      </c>
      <c r="E3">
        <v>472726</v>
      </c>
      <c r="F3">
        <v>145824</v>
      </c>
      <c r="G3">
        <v>464708</v>
      </c>
      <c r="H3">
        <v>154060</v>
      </c>
      <c r="I3">
        <v>173008</v>
      </c>
      <c r="J3">
        <v>974908</v>
      </c>
      <c r="K3">
        <v>1256872</v>
      </c>
      <c r="L3">
        <v>18323874</v>
      </c>
      <c r="M3">
        <v>48124164</v>
      </c>
      <c r="N3">
        <v>29504</v>
      </c>
      <c r="O3">
        <v>30428</v>
      </c>
      <c r="P3">
        <v>16120</v>
      </c>
      <c r="Q3">
        <v>18986</v>
      </c>
      <c r="R3">
        <v>201386</v>
      </c>
      <c r="S3">
        <v>910190</v>
      </c>
      <c r="T3">
        <v>917064</v>
      </c>
      <c r="U3">
        <v>1127620</v>
      </c>
      <c r="V3">
        <v>20.82</v>
      </c>
      <c r="W3">
        <v>51.41</v>
      </c>
      <c r="X3">
        <v>15</v>
      </c>
      <c r="Y3">
        <v>15</v>
      </c>
      <c r="Z3">
        <v>843</v>
      </c>
      <c r="AA3">
        <v>838</v>
      </c>
      <c r="AB3">
        <v>2.1002923E-2</v>
      </c>
      <c r="AC3">
        <v>5.1610926000000001E-2</v>
      </c>
      <c r="AD3">
        <v>3.954E-3</v>
      </c>
      <c r="AE3">
        <v>3.9659999999999999E-3</v>
      </c>
      <c r="AF3">
        <v>1.6752E-2</v>
      </c>
      <c r="AG3">
        <v>4.6584E-2</v>
      </c>
    </row>
    <row r="4" spans="1:33" x14ac:dyDescent="0.25">
      <c r="B4">
        <v>18625544</v>
      </c>
      <c r="C4">
        <v>47859834</v>
      </c>
      <c r="D4">
        <v>57400</v>
      </c>
      <c r="E4">
        <v>437602</v>
      </c>
      <c r="F4">
        <v>150700</v>
      </c>
      <c r="G4">
        <v>450956</v>
      </c>
      <c r="H4">
        <v>142568</v>
      </c>
      <c r="I4">
        <v>204322</v>
      </c>
      <c r="J4">
        <v>973368</v>
      </c>
      <c r="K4">
        <v>1166466</v>
      </c>
      <c r="L4">
        <v>18398694</v>
      </c>
      <c r="M4">
        <v>48478200</v>
      </c>
      <c r="N4">
        <v>29398</v>
      </c>
      <c r="O4">
        <v>31256</v>
      </c>
      <c r="P4">
        <v>16370</v>
      </c>
      <c r="Q4">
        <v>17786</v>
      </c>
      <c r="R4">
        <v>209498</v>
      </c>
      <c r="S4">
        <v>1000620</v>
      </c>
      <c r="T4">
        <v>963146</v>
      </c>
      <c r="U4">
        <v>1094482</v>
      </c>
      <c r="V4">
        <v>20.84</v>
      </c>
      <c r="W4">
        <v>51.76</v>
      </c>
      <c r="X4">
        <v>16</v>
      </c>
      <c r="Y4">
        <v>15</v>
      </c>
      <c r="Z4">
        <v>845</v>
      </c>
      <c r="AA4">
        <v>838</v>
      </c>
      <c r="AB4">
        <v>2.1018520999999998E-2</v>
      </c>
      <c r="AC4">
        <v>5.1971709999999997E-2</v>
      </c>
      <c r="AD4">
        <v>1.9810000000000001E-3</v>
      </c>
      <c r="AE4">
        <v>1.0082000000000001E-2</v>
      </c>
      <c r="AF4">
        <v>1.8797999999999999E-2</v>
      </c>
      <c r="AG4">
        <v>4.1342999999999998E-2</v>
      </c>
    </row>
    <row r="5" spans="1:33" x14ac:dyDescent="0.25">
      <c r="B5">
        <v>18597810</v>
      </c>
      <c r="C5">
        <v>48444260</v>
      </c>
      <c r="D5">
        <v>62664</v>
      </c>
      <c r="E5">
        <v>467020</v>
      </c>
      <c r="F5">
        <v>135178</v>
      </c>
      <c r="G5">
        <v>449734</v>
      </c>
      <c r="H5">
        <v>143296</v>
      </c>
      <c r="I5">
        <v>164174</v>
      </c>
      <c r="J5">
        <v>943640</v>
      </c>
      <c r="K5">
        <v>1130628</v>
      </c>
      <c r="L5">
        <v>18251572</v>
      </c>
      <c r="M5">
        <v>49603300</v>
      </c>
      <c r="N5">
        <v>28614</v>
      </c>
      <c r="O5">
        <v>29052</v>
      </c>
      <c r="P5">
        <v>16020</v>
      </c>
      <c r="Q5">
        <v>15706</v>
      </c>
      <c r="R5">
        <v>208928</v>
      </c>
      <c r="S5">
        <v>930414</v>
      </c>
      <c r="T5">
        <v>951932</v>
      </c>
      <c r="U5">
        <v>1152748</v>
      </c>
      <c r="V5">
        <v>20.72</v>
      </c>
      <c r="W5">
        <v>51.28</v>
      </c>
      <c r="X5">
        <v>14</v>
      </c>
      <c r="Y5">
        <v>15</v>
      </c>
      <c r="Z5">
        <v>840</v>
      </c>
      <c r="AA5">
        <v>839</v>
      </c>
      <c r="AB5">
        <v>2.0904262999999999E-2</v>
      </c>
      <c r="AC5">
        <v>5.1476843000000001E-2</v>
      </c>
      <c r="AD5">
        <v>1.9719999999999998E-3</v>
      </c>
      <c r="AE5">
        <v>9.7300000000000008E-3</v>
      </c>
      <c r="AF5">
        <v>1.8661000000000001E-2</v>
      </c>
      <c r="AG5">
        <v>4.0861000000000001E-2</v>
      </c>
    </row>
    <row r="6" spans="1:33" x14ac:dyDescent="0.25">
      <c r="B6">
        <v>18670346</v>
      </c>
      <c r="C6">
        <v>48341042</v>
      </c>
      <c r="D6">
        <v>63590</v>
      </c>
      <c r="E6">
        <v>451602</v>
      </c>
      <c r="F6">
        <v>143234</v>
      </c>
      <c r="G6">
        <v>501944</v>
      </c>
      <c r="H6">
        <v>143348</v>
      </c>
      <c r="I6">
        <v>161038</v>
      </c>
      <c r="J6">
        <v>974012</v>
      </c>
      <c r="K6">
        <v>1091422</v>
      </c>
      <c r="L6">
        <v>18351498</v>
      </c>
      <c r="M6">
        <v>47946448</v>
      </c>
      <c r="N6">
        <v>28954</v>
      </c>
      <c r="O6">
        <v>30462</v>
      </c>
      <c r="P6">
        <v>15410</v>
      </c>
      <c r="Q6">
        <v>17040</v>
      </c>
      <c r="R6">
        <v>204904</v>
      </c>
      <c r="S6">
        <v>926968</v>
      </c>
      <c r="T6">
        <v>972330</v>
      </c>
      <c r="U6">
        <v>1159528</v>
      </c>
      <c r="V6">
        <v>20.87</v>
      </c>
      <c r="W6">
        <v>52.09</v>
      </c>
      <c r="X6">
        <v>15</v>
      </c>
      <c r="Y6">
        <v>16</v>
      </c>
      <c r="Z6">
        <v>844</v>
      </c>
      <c r="AA6">
        <v>841</v>
      </c>
      <c r="AB6">
        <v>2.1051159E-2</v>
      </c>
      <c r="AC6">
        <v>5.2284789999999998E-2</v>
      </c>
      <c r="AD6">
        <v>2.967E-3</v>
      </c>
      <c r="AE6">
        <v>6.9490000000000003E-3</v>
      </c>
      <c r="AF6">
        <v>1.7777999999999999E-2</v>
      </c>
      <c r="AG6">
        <v>4.4699999999999997E-2</v>
      </c>
    </row>
    <row r="7" spans="1:33" x14ac:dyDescent="0.25">
      <c r="B7">
        <v>18610838</v>
      </c>
      <c r="C7">
        <v>48146700</v>
      </c>
      <c r="D7">
        <v>59520</v>
      </c>
      <c r="E7">
        <v>803552</v>
      </c>
      <c r="F7">
        <v>157504</v>
      </c>
      <c r="G7">
        <v>496858</v>
      </c>
      <c r="H7">
        <v>147140</v>
      </c>
      <c r="I7">
        <v>160500</v>
      </c>
      <c r="J7">
        <v>1164252</v>
      </c>
      <c r="K7">
        <v>1174274</v>
      </c>
      <c r="L7">
        <v>18326576</v>
      </c>
      <c r="M7">
        <v>48165612</v>
      </c>
      <c r="N7">
        <v>30212</v>
      </c>
      <c r="O7">
        <v>29396</v>
      </c>
      <c r="P7">
        <v>16326</v>
      </c>
      <c r="Q7">
        <v>16490</v>
      </c>
      <c r="R7">
        <v>196076</v>
      </c>
      <c r="S7">
        <v>975598</v>
      </c>
      <c r="T7">
        <v>942446</v>
      </c>
      <c r="U7">
        <v>1328538</v>
      </c>
      <c r="V7">
        <v>20.87</v>
      </c>
      <c r="W7">
        <v>51.93</v>
      </c>
      <c r="X7">
        <v>14</v>
      </c>
      <c r="Y7">
        <v>15</v>
      </c>
      <c r="Z7">
        <v>842</v>
      </c>
      <c r="AA7">
        <v>842</v>
      </c>
      <c r="AB7">
        <v>2.1053878000000002E-2</v>
      </c>
      <c r="AC7">
        <v>5.2113494000000003E-2</v>
      </c>
      <c r="AD7">
        <v>2.9880000000000002E-3</v>
      </c>
      <c r="AE7">
        <v>7.9299999999999995E-3</v>
      </c>
      <c r="AF7">
        <v>1.7901E-2</v>
      </c>
      <c r="AG7">
        <v>4.3607E-2</v>
      </c>
    </row>
    <row r="8" spans="1:33" x14ac:dyDescent="0.25">
      <c r="B8">
        <v>18605146</v>
      </c>
      <c r="C8">
        <v>47668026</v>
      </c>
      <c r="D8">
        <v>60416</v>
      </c>
      <c r="E8">
        <v>644666</v>
      </c>
      <c r="F8">
        <v>160496</v>
      </c>
      <c r="G8">
        <v>450694</v>
      </c>
      <c r="H8">
        <v>146558</v>
      </c>
      <c r="I8">
        <v>230552</v>
      </c>
      <c r="J8">
        <v>1098408</v>
      </c>
      <c r="K8">
        <v>1120568</v>
      </c>
      <c r="L8">
        <v>18463366</v>
      </c>
      <c r="M8">
        <v>47720768</v>
      </c>
      <c r="N8">
        <v>29124</v>
      </c>
      <c r="O8">
        <v>29330</v>
      </c>
      <c r="P8">
        <v>15364</v>
      </c>
      <c r="Q8">
        <v>17406</v>
      </c>
      <c r="R8">
        <v>205266</v>
      </c>
      <c r="S8">
        <v>945416</v>
      </c>
      <c r="T8">
        <v>899608</v>
      </c>
      <c r="U8">
        <v>1129794</v>
      </c>
      <c r="V8">
        <v>20.83</v>
      </c>
      <c r="W8">
        <v>51.78</v>
      </c>
      <c r="X8">
        <v>15</v>
      </c>
      <c r="Y8">
        <v>16</v>
      </c>
      <c r="Z8">
        <v>839</v>
      </c>
      <c r="AA8">
        <v>842</v>
      </c>
      <c r="AB8">
        <v>2.1084655000000001E-2</v>
      </c>
      <c r="AC8">
        <v>5.1989711000000001E-2</v>
      </c>
      <c r="AD8">
        <v>3.954E-3</v>
      </c>
      <c r="AE8">
        <v>3.882E-3</v>
      </c>
      <c r="AF8">
        <v>1.6771999999999999E-2</v>
      </c>
      <c r="AG8">
        <v>4.7574999999999999E-2</v>
      </c>
    </row>
    <row r="9" spans="1:33" x14ac:dyDescent="0.25">
      <c r="B9">
        <v>18689872</v>
      </c>
      <c r="C9">
        <v>48929130</v>
      </c>
      <c r="D9">
        <v>59134</v>
      </c>
      <c r="E9">
        <v>500128</v>
      </c>
      <c r="F9">
        <v>145530</v>
      </c>
      <c r="G9">
        <v>532444</v>
      </c>
      <c r="H9">
        <v>1407832</v>
      </c>
      <c r="I9">
        <v>165978</v>
      </c>
      <c r="J9">
        <v>974102</v>
      </c>
      <c r="K9">
        <v>1128260</v>
      </c>
      <c r="L9">
        <v>18554520</v>
      </c>
      <c r="M9">
        <v>49072216</v>
      </c>
      <c r="N9">
        <v>29720</v>
      </c>
      <c r="O9">
        <v>30210</v>
      </c>
      <c r="P9">
        <v>16864</v>
      </c>
      <c r="Q9">
        <v>17298</v>
      </c>
      <c r="R9">
        <v>199232</v>
      </c>
      <c r="S9">
        <v>981146</v>
      </c>
      <c r="T9">
        <v>911318</v>
      </c>
      <c r="U9">
        <v>1133992</v>
      </c>
      <c r="V9">
        <v>20.89</v>
      </c>
      <c r="W9">
        <v>52.26</v>
      </c>
      <c r="X9">
        <v>20</v>
      </c>
      <c r="Y9">
        <v>17</v>
      </c>
      <c r="Z9">
        <v>842</v>
      </c>
      <c r="AA9">
        <v>841</v>
      </c>
      <c r="AB9">
        <v>2.171648E-2</v>
      </c>
      <c r="AC9">
        <v>5.244422E-2</v>
      </c>
      <c r="AD9">
        <v>1.843E-3</v>
      </c>
      <c r="AE9">
        <v>7.9349999999999993E-3</v>
      </c>
      <c r="AF9">
        <v>1.8307E-2</v>
      </c>
      <c r="AG9">
        <v>4.3616000000000002E-2</v>
      </c>
    </row>
    <row r="10" spans="1:33" x14ac:dyDescent="0.25">
      <c r="B10">
        <v>18693370</v>
      </c>
      <c r="C10">
        <v>48550168</v>
      </c>
      <c r="D10">
        <v>57350</v>
      </c>
      <c r="E10">
        <v>472850</v>
      </c>
      <c r="F10">
        <v>142672</v>
      </c>
      <c r="G10">
        <v>450136</v>
      </c>
      <c r="H10">
        <v>146114</v>
      </c>
      <c r="I10">
        <v>162708</v>
      </c>
      <c r="J10">
        <v>950500</v>
      </c>
      <c r="K10">
        <v>1117618</v>
      </c>
      <c r="L10">
        <v>18351538</v>
      </c>
      <c r="M10">
        <v>48239100</v>
      </c>
      <c r="N10">
        <v>31168</v>
      </c>
      <c r="O10">
        <v>30600</v>
      </c>
      <c r="P10">
        <v>17328</v>
      </c>
      <c r="Q10">
        <v>18002</v>
      </c>
      <c r="R10">
        <v>210440</v>
      </c>
      <c r="S10">
        <v>924500</v>
      </c>
      <c r="T10">
        <v>973484</v>
      </c>
      <c r="U10">
        <v>1121008</v>
      </c>
      <c r="V10">
        <v>20.83</v>
      </c>
      <c r="W10">
        <v>51.4</v>
      </c>
      <c r="X10">
        <v>13</v>
      </c>
      <c r="Y10">
        <v>21</v>
      </c>
      <c r="Z10">
        <v>841</v>
      </c>
      <c r="AA10">
        <v>840</v>
      </c>
      <c r="AB10">
        <v>2.1003699000000001E-2</v>
      </c>
      <c r="AC10">
        <v>5.1594280999999999E-2</v>
      </c>
      <c r="AD10">
        <v>4.9779999999999998E-3</v>
      </c>
      <c r="AE10">
        <v>3.9569999999999996E-3</v>
      </c>
      <c r="AF10">
        <v>1.5897999999999999E-2</v>
      </c>
      <c r="AG10">
        <v>4.6476000000000003E-2</v>
      </c>
    </row>
    <row r="11" spans="1:33" x14ac:dyDescent="0.25">
      <c r="B11">
        <v>18660974</v>
      </c>
      <c r="C11">
        <v>48212134</v>
      </c>
      <c r="D11">
        <v>59608</v>
      </c>
      <c r="E11">
        <v>483646</v>
      </c>
      <c r="F11">
        <v>160056</v>
      </c>
      <c r="G11">
        <v>453552</v>
      </c>
      <c r="H11">
        <v>145468</v>
      </c>
      <c r="I11">
        <v>161180</v>
      </c>
      <c r="J11">
        <v>984386</v>
      </c>
      <c r="K11">
        <v>1134994</v>
      </c>
      <c r="L11">
        <v>18503820</v>
      </c>
      <c r="M11">
        <v>50005110</v>
      </c>
      <c r="N11">
        <v>29868</v>
      </c>
      <c r="O11">
        <v>30432</v>
      </c>
      <c r="P11">
        <v>16614</v>
      </c>
      <c r="Q11">
        <v>16624</v>
      </c>
      <c r="R11">
        <v>201738</v>
      </c>
      <c r="S11">
        <v>938654</v>
      </c>
      <c r="T11">
        <v>901916</v>
      </c>
      <c r="U11">
        <v>1176556</v>
      </c>
      <c r="V11">
        <v>20.85</v>
      </c>
      <c r="W11">
        <v>52.01</v>
      </c>
      <c r="X11">
        <v>16</v>
      </c>
      <c r="Y11">
        <v>15</v>
      </c>
      <c r="Z11">
        <v>842</v>
      </c>
      <c r="AA11">
        <v>840</v>
      </c>
      <c r="AB11">
        <v>2.1056888999999999E-2</v>
      </c>
      <c r="AC11">
        <v>5.2205277000000001E-2</v>
      </c>
      <c r="AD11">
        <v>1.9810000000000001E-3</v>
      </c>
      <c r="AE11">
        <v>4.9480000000000001E-3</v>
      </c>
      <c r="AF11">
        <v>1.8751E-2</v>
      </c>
      <c r="AG11">
        <v>4.6542E-2</v>
      </c>
    </row>
    <row r="12" spans="1:33" x14ac:dyDescent="0.25">
      <c r="B12">
        <v>18796148</v>
      </c>
      <c r="C12">
        <v>48518470</v>
      </c>
      <c r="D12">
        <v>58226</v>
      </c>
      <c r="E12">
        <v>656644</v>
      </c>
      <c r="F12">
        <v>149022</v>
      </c>
      <c r="G12">
        <v>460026</v>
      </c>
      <c r="H12">
        <v>145256</v>
      </c>
      <c r="I12">
        <v>160918</v>
      </c>
      <c r="J12">
        <v>905906</v>
      </c>
      <c r="K12">
        <v>1126926</v>
      </c>
      <c r="L12">
        <v>18353120</v>
      </c>
      <c r="M12">
        <v>49456406</v>
      </c>
      <c r="N12">
        <v>31102</v>
      </c>
      <c r="O12">
        <v>29626</v>
      </c>
      <c r="P12">
        <v>16768</v>
      </c>
      <c r="Q12">
        <v>17272</v>
      </c>
      <c r="R12">
        <v>197606</v>
      </c>
      <c r="S12">
        <v>1021546</v>
      </c>
      <c r="T12">
        <v>956594</v>
      </c>
      <c r="U12">
        <v>1118202</v>
      </c>
      <c r="V12">
        <v>20.85</v>
      </c>
      <c r="W12">
        <v>53.26</v>
      </c>
      <c r="X12">
        <v>12</v>
      </c>
      <c r="Y12">
        <v>18</v>
      </c>
      <c r="Z12">
        <v>843</v>
      </c>
      <c r="AA12">
        <v>839</v>
      </c>
      <c r="AB12">
        <v>2.1026184999999999E-2</v>
      </c>
      <c r="AC12">
        <v>5.3446066E-2</v>
      </c>
      <c r="AD12">
        <v>1.9880000000000002E-3</v>
      </c>
      <c r="AE12">
        <v>7.9360000000000003E-3</v>
      </c>
      <c r="AF12">
        <v>1.8907E-2</v>
      </c>
      <c r="AG12">
        <v>4.4635000000000001E-2</v>
      </c>
    </row>
    <row r="13" spans="1:33" x14ac:dyDescent="0.25">
      <c r="B13">
        <f>AVERAGE(B3:B12)</f>
        <v>18662693.800000001</v>
      </c>
      <c r="C13">
        <f t="shared" ref="C13:AG13" si="0">AVERAGE(C3:C12)</f>
        <v>48270429.600000001</v>
      </c>
      <c r="D13">
        <f t="shared" si="0"/>
        <v>59500</v>
      </c>
      <c r="E13">
        <f t="shared" si="0"/>
        <v>539043.6</v>
      </c>
      <c r="F13">
        <f t="shared" si="0"/>
        <v>149021.6</v>
      </c>
      <c r="G13">
        <f t="shared" si="0"/>
        <v>471105.2</v>
      </c>
      <c r="H13">
        <f t="shared" si="0"/>
        <v>272164</v>
      </c>
      <c r="I13">
        <f t="shared" si="0"/>
        <v>174437.8</v>
      </c>
      <c r="J13">
        <f t="shared" si="0"/>
        <v>994348.2</v>
      </c>
      <c r="K13">
        <f t="shared" si="0"/>
        <v>1144802.8</v>
      </c>
      <c r="L13">
        <f t="shared" si="0"/>
        <v>18387857.800000001</v>
      </c>
      <c r="M13">
        <f t="shared" si="0"/>
        <v>48681132.399999999</v>
      </c>
      <c r="N13">
        <f t="shared" si="0"/>
        <v>29766.400000000001</v>
      </c>
      <c r="O13">
        <f t="shared" si="0"/>
        <v>30079.200000000001</v>
      </c>
      <c r="P13">
        <f t="shared" si="0"/>
        <v>16318.4</v>
      </c>
      <c r="Q13">
        <f t="shared" si="0"/>
        <v>17261</v>
      </c>
      <c r="R13">
        <f t="shared" si="0"/>
        <v>203507.4</v>
      </c>
      <c r="S13">
        <f t="shared" si="0"/>
        <v>955505.2</v>
      </c>
      <c r="T13">
        <f t="shared" si="0"/>
        <v>938983.8</v>
      </c>
      <c r="U13">
        <f t="shared" si="0"/>
        <v>1154246.8</v>
      </c>
      <c r="V13">
        <f t="shared" si="0"/>
        <v>20.837</v>
      </c>
      <c r="W13">
        <f t="shared" si="0"/>
        <v>51.917999999999992</v>
      </c>
      <c r="X13">
        <f t="shared" si="0"/>
        <v>15</v>
      </c>
      <c r="Y13">
        <f t="shared" si="0"/>
        <v>16.3</v>
      </c>
      <c r="Z13">
        <f t="shared" si="0"/>
        <v>842.1</v>
      </c>
      <c r="AA13">
        <f t="shared" si="0"/>
        <v>840</v>
      </c>
      <c r="AB13">
        <f t="shared" si="0"/>
        <v>2.1091865199999997E-2</v>
      </c>
      <c r="AC13">
        <f t="shared" si="0"/>
        <v>5.2113731799999993E-2</v>
      </c>
      <c r="AD13">
        <f t="shared" si="0"/>
        <v>2.8606000000000005E-3</v>
      </c>
      <c r="AE13">
        <f t="shared" si="0"/>
        <v>6.7314999999999996E-3</v>
      </c>
      <c r="AF13">
        <f t="shared" si="0"/>
        <v>1.78525E-2</v>
      </c>
      <c r="AG13">
        <f t="shared" si="0"/>
        <v>4.4593899999999999E-2</v>
      </c>
    </row>
    <row r="14" spans="1:33" x14ac:dyDescent="0.25">
      <c r="C14">
        <f>100*C13/B13</f>
        <v>258.64663546052498</v>
      </c>
      <c r="E14">
        <f>100*E13/D13</f>
        <v>905.95563025210083</v>
      </c>
      <c r="G14">
        <f>100*G13/F13</f>
        <v>316.13215802272958</v>
      </c>
      <c r="I14">
        <f>100*I13/H13</f>
        <v>64.092899869196515</v>
      </c>
      <c r="K14">
        <f>100*K13/J13</f>
        <v>115.1309772572626</v>
      </c>
      <c r="M14">
        <f>100*M13/L13</f>
        <v>264.74607825170369</v>
      </c>
      <c r="O14">
        <f>100*O13/N13</f>
        <v>101.05084927972479</v>
      </c>
      <c r="Q14">
        <f>100*Q13/P13</f>
        <v>105.7763015981959</v>
      </c>
      <c r="S14">
        <f>100*S13/R13</f>
        <v>469.51865141021898</v>
      </c>
      <c r="U14">
        <f>100*U13/T13</f>
        <v>122.92510264820329</v>
      </c>
      <c r="W14">
        <f>100*W13/V13</f>
        <v>249.16254739165905</v>
      </c>
      <c r="Y14">
        <f>100*Y13/X13</f>
        <v>108.66666666666667</v>
      </c>
      <c r="AA14">
        <f>100*AA13/Z13</f>
        <v>99.750623441396499</v>
      </c>
      <c r="AC14">
        <f>100*AC13/AB13</f>
        <v>247.07976893385415</v>
      </c>
      <c r="AE14">
        <f>100*AE13/AD13</f>
        <v>235.31776550374042</v>
      </c>
      <c r="AG14">
        <f>100*AG13/AF13</f>
        <v>249.79078560425711</v>
      </c>
    </row>
    <row r="15" spans="1:33" x14ac:dyDescent="0.25">
      <c r="C15">
        <f>AVERAGE(C14,M14)</f>
        <v>261.69635685611433</v>
      </c>
      <c r="G15">
        <f>AVERAGE(G14,S14)</f>
        <v>392.82540471647428</v>
      </c>
      <c r="K15">
        <f>AVERAGE(K14,U14)</f>
        <v>119.02803995273294</v>
      </c>
    </row>
    <row r="17" spans="1:33" x14ac:dyDescent="0.25">
      <c r="A17" t="s">
        <v>107</v>
      </c>
      <c r="B17" t="s">
        <v>81</v>
      </c>
      <c r="C17" t="s">
        <v>82</v>
      </c>
      <c r="D17" t="s">
        <v>81</v>
      </c>
      <c r="E17" t="s">
        <v>82</v>
      </c>
      <c r="F17" t="s">
        <v>81</v>
      </c>
      <c r="G17" t="s">
        <v>82</v>
      </c>
      <c r="H17" t="s">
        <v>81</v>
      </c>
      <c r="I17" t="s">
        <v>82</v>
      </c>
      <c r="J17" t="s">
        <v>81</v>
      </c>
      <c r="K17" t="s">
        <v>82</v>
      </c>
      <c r="L17" t="s">
        <v>81</v>
      </c>
      <c r="M17" t="s">
        <v>82</v>
      </c>
      <c r="N17" t="s">
        <v>81</v>
      </c>
      <c r="O17" t="s">
        <v>82</v>
      </c>
      <c r="P17" t="s">
        <v>81</v>
      </c>
      <c r="Q17" t="s">
        <v>82</v>
      </c>
      <c r="R17" t="s">
        <v>81</v>
      </c>
      <c r="S17" t="s">
        <v>82</v>
      </c>
      <c r="T17" t="s">
        <v>81</v>
      </c>
      <c r="U17" t="s">
        <v>82</v>
      </c>
      <c r="V17" t="s">
        <v>81</v>
      </c>
      <c r="W17" t="s">
        <v>82</v>
      </c>
      <c r="X17" t="s">
        <v>81</v>
      </c>
      <c r="Y17" t="s">
        <v>82</v>
      </c>
      <c r="Z17" t="s">
        <v>81</v>
      </c>
      <c r="AA17" t="s">
        <v>82</v>
      </c>
      <c r="AB17" t="s">
        <v>81</v>
      </c>
      <c r="AC17" t="s">
        <v>82</v>
      </c>
      <c r="AD17" t="s">
        <v>81</v>
      </c>
      <c r="AE17" t="s">
        <v>82</v>
      </c>
      <c r="AF17" t="s">
        <v>81</v>
      </c>
      <c r="AG17" t="s">
        <v>82</v>
      </c>
    </row>
    <row r="18" spans="1:33" x14ac:dyDescent="0.25">
      <c r="B18" t="s">
        <v>112</v>
      </c>
      <c r="C18" t="s">
        <v>112</v>
      </c>
      <c r="D18" t="s">
        <v>99</v>
      </c>
      <c r="E18" t="s">
        <v>99</v>
      </c>
      <c r="F18" t="s">
        <v>100</v>
      </c>
      <c r="G18" t="s">
        <v>100</v>
      </c>
      <c r="H18" t="s">
        <v>101</v>
      </c>
      <c r="I18" t="s">
        <v>101</v>
      </c>
      <c r="J18" t="s">
        <v>84</v>
      </c>
      <c r="K18" t="s">
        <v>84</v>
      </c>
      <c r="L18" t="s">
        <v>112</v>
      </c>
      <c r="M18" t="s">
        <v>112</v>
      </c>
      <c r="N18" t="s">
        <v>99</v>
      </c>
      <c r="O18" t="s">
        <v>99</v>
      </c>
      <c r="P18" t="s">
        <v>102</v>
      </c>
      <c r="Q18" t="s">
        <v>102</v>
      </c>
      <c r="R18" t="s">
        <v>103</v>
      </c>
      <c r="S18" t="s">
        <v>103</v>
      </c>
      <c r="T18" t="s">
        <v>84</v>
      </c>
      <c r="U18" t="s">
        <v>84</v>
      </c>
      <c r="V18" t="s">
        <v>85</v>
      </c>
      <c r="W18" t="s">
        <v>85</v>
      </c>
      <c r="X18" t="s">
        <v>86</v>
      </c>
      <c r="Y18" t="s">
        <v>86</v>
      </c>
      <c r="Z18" t="s">
        <v>87</v>
      </c>
      <c r="AA18" t="s">
        <v>87</v>
      </c>
      <c r="AB18" t="s">
        <v>88</v>
      </c>
      <c r="AC18" t="s">
        <v>88</v>
      </c>
      <c r="AD18" t="s">
        <v>4</v>
      </c>
      <c r="AE18" t="s">
        <v>4</v>
      </c>
      <c r="AF18" t="s">
        <v>6</v>
      </c>
      <c r="AG18" t="s">
        <v>6</v>
      </c>
    </row>
    <row r="19" spans="1:33" x14ac:dyDescent="0.25">
      <c r="B19">
        <v>4808764</v>
      </c>
      <c r="C19">
        <v>6848182</v>
      </c>
      <c r="D19">
        <v>8026</v>
      </c>
      <c r="E19">
        <v>8492</v>
      </c>
      <c r="F19">
        <v>42374</v>
      </c>
      <c r="G19">
        <v>72630</v>
      </c>
      <c r="H19">
        <v>160494</v>
      </c>
      <c r="I19">
        <v>186006</v>
      </c>
      <c r="J19">
        <v>153008</v>
      </c>
      <c r="K19">
        <v>161656</v>
      </c>
      <c r="L19">
        <v>4997726</v>
      </c>
      <c r="M19">
        <v>5978176</v>
      </c>
      <c r="N19">
        <v>32640</v>
      </c>
      <c r="O19">
        <v>95538</v>
      </c>
      <c r="P19">
        <v>15076</v>
      </c>
      <c r="Q19">
        <v>17452</v>
      </c>
      <c r="R19">
        <v>48128</v>
      </c>
      <c r="S19">
        <v>42290</v>
      </c>
      <c r="T19">
        <v>172686</v>
      </c>
      <c r="U19">
        <v>167462</v>
      </c>
      <c r="V19">
        <v>5.94</v>
      </c>
      <c r="W19">
        <v>7.19</v>
      </c>
      <c r="AB19">
        <v>6.1130840000000004E-3</v>
      </c>
      <c r="AC19">
        <v>7.380564E-3</v>
      </c>
      <c r="AD19">
        <v>1.735E-3</v>
      </c>
      <c r="AE19">
        <v>2.0820000000000001E-3</v>
      </c>
      <c r="AF19">
        <v>4.3010000000000001E-3</v>
      </c>
      <c r="AG19">
        <v>5.1799999999999997E-3</v>
      </c>
    </row>
    <row r="20" spans="1:33" x14ac:dyDescent="0.25">
      <c r="B20">
        <v>3651302</v>
      </c>
      <c r="C20">
        <v>4306364</v>
      </c>
      <c r="D20">
        <v>25138</v>
      </c>
      <c r="E20">
        <v>8354</v>
      </c>
      <c r="F20">
        <v>31146</v>
      </c>
      <c r="G20">
        <v>36650</v>
      </c>
      <c r="H20">
        <v>138632</v>
      </c>
      <c r="I20">
        <v>197440</v>
      </c>
      <c r="J20">
        <v>158866</v>
      </c>
      <c r="K20">
        <v>148104</v>
      </c>
      <c r="L20">
        <v>3715156</v>
      </c>
      <c r="M20">
        <v>4597698</v>
      </c>
      <c r="N20">
        <v>30372</v>
      </c>
      <c r="O20">
        <v>35800</v>
      </c>
      <c r="P20">
        <v>15244</v>
      </c>
      <c r="Q20">
        <v>18014</v>
      </c>
      <c r="R20">
        <v>56622</v>
      </c>
      <c r="S20">
        <v>39796</v>
      </c>
      <c r="T20">
        <v>155566</v>
      </c>
      <c r="U20">
        <v>149808</v>
      </c>
      <c r="V20">
        <v>5.9</v>
      </c>
      <c r="W20">
        <v>6.91</v>
      </c>
      <c r="AB20">
        <v>6.0676749999999998E-3</v>
      </c>
      <c r="AC20">
        <v>7.1033529999999998E-3</v>
      </c>
      <c r="AD20">
        <v>2.0089999999999999E-3</v>
      </c>
      <c r="AE20">
        <v>2.9940000000000001E-3</v>
      </c>
      <c r="AF20">
        <v>3.9709999999999997E-3</v>
      </c>
      <c r="AG20">
        <v>3.9950000000000003E-3</v>
      </c>
    </row>
    <row r="21" spans="1:33" x14ac:dyDescent="0.25">
      <c r="B21">
        <v>4882768</v>
      </c>
      <c r="C21">
        <v>5744800</v>
      </c>
      <c r="D21">
        <v>8754</v>
      </c>
      <c r="E21">
        <v>8766</v>
      </c>
      <c r="F21">
        <v>46812</v>
      </c>
      <c r="G21">
        <v>35028</v>
      </c>
      <c r="H21">
        <v>150478</v>
      </c>
      <c r="I21">
        <v>209872</v>
      </c>
      <c r="J21">
        <v>153668</v>
      </c>
      <c r="K21">
        <v>196974</v>
      </c>
      <c r="L21">
        <v>4872508</v>
      </c>
      <c r="M21">
        <v>5769142</v>
      </c>
      <c r="N21">
        <v>31052</v>
      </c>
      <c r="O21">
        <v>35142</v>
      </c>
      <c r="P21">
        <v>14542</v>
      </c>
      <c r="Q21">
        <v>18596</v>
      </c>
      <c r="R21">
        <v>44038</v>
      </c>
      <c r="S21">
        <v>40248</v>
      </c>
      <c r="T21">
        <v>152610</v>
      </c>
      <c r="U21">
        <v>167936</v>
      </c>
      <c r="V21">
        <v>5.99</v>
      </c>
      <c r="W21">
        <v>7.08</v>
      </c>
      <c r="AB21">
        <v>6.158518E-3</v>
      </c>
      <c r="AC21">
        <v>7.2703020000000002E-3</v>
      </c>
      <c r="AD21">
        <v>2.0379999999999999E-3</v>
      </c>
      <c r="AE21">
        <v>4.0980000000000001E-3</v>
      </c>
      <c r="AF21">
        <v>4.0419999999999996E-3</v>
      </c>
      <c r="AG21">
        <v>3.0609999999999999E-3</v>
      </c>
    </row>
    <row r="22" spans="1:33" x14ac:dyDescent="0.25">
      <c r="B22">
        <v>3574438</v>
      </c>
      <c r="C22">
        <v>4608010</v>
      </c>
      <c r="D22">
        <v>7878</v>
      </c>
      <c r="E22">
        <v>9170</v>
      </c>
      <c r="F22">
        <v>54210</v>
      </c>
      <c r="G22">
        <v>38652</v>
      </c>
      <c r="H22">
        <v>137698</v>
      </c>
      <c r="I22">
        <v>176770</v>
      </c>
      <c r="J22">
        <v>139420</v>
      </c>
      <c r="K22">
        <v>145292</v>
      </c>
      <c r="L22">
        <v>3579544</v>
      </c>
      <c r="M22">
        <v>4301852</v>
      </c>
      <c r="N22">
        <v>30936</v>
      </c>
      <c r="O22">
        <v>34618</v>
      </c>
      <c r="P22">
        <v>15416</v>
      </c>
      <c r="Q22">
        <v>18924</v>
      </c>
      <c r="R22">
        <v>45146</v>
      </c>
      <c r="S22">
        <v>34912</v>
      </c>
      <c r="T22">
        <v>155748</v>
      </c>
      <c r="U22">
        <v>215106</v>
      </c>
      <c r="V22">
        <v>6.05</v>
      </c>
      <c r="W22">
        <v>6.96</v>
      </c>
      <c r="AB22">
        <v>6.2371859999999996E-3</v>
      </c>
      <c r="AC22">
        <v>7.1515759999999998E-3</v>
      </c>
      <c r="AD22">
        <v>8.8099999999999995E-4</v>
      </c>
      <c r="AE22">
        <v>3.0200000000000001E-3</v>
      </c>
      <c r="AF22">
        <v>5.2550000000000001E-3</v>
      </c>
      <c r="AG22">
        <v>4.0150000000000003E-3</v>
      </c>
    </row>
    <row r="23" spans="1:33" x14ac:dyDescent="0.25">
      <c r="B23">
        <v>4901702</v>
      </c>
      <c r="C23">
        <v>6043092</v>
      </c>
      <c r="D23">
        <v>7938</v>
      </c>
      <c r="E23">
        <v>9136</v>
      </c>
      <c r="F23">
        <v>36146</v>
      </c>
      <c r="G23">
        <v>30558</v>
      </c>
      <c r="H23">
        <v>156042</v>
      </c>
      <c r="I23">
        <v>1377306</v>
      </c>
      <c r="J23">
        <v>153118</v>
      </c>
      <c r="K23">
        <v>164012</v>
      </c>
      <c r="L23">
        <v>5096420</v>
      </c>
      <c r="M23">
        <v>5894270</v>
      </c>
      <c r="N23">
        <v>32370</v>
      </c>
      <c r="O23">
        <v>34146</v>
      </c>
      <c r="P23">
        <v>15706</v>
      </c>
      <c r="Q23">
        <v>17328</v>
      </c>
      <c r="R23">
        <v>42780</v>
      </c>
      <c r="S23">
        <v>41530</v>
      </c>
      <c r="T23">
        <v>159106</v>
      </c>
      <c r="U23">
        <v>165546</v>
      </c>
      <c r="V23">
        <v>5.87</v>
      </c>
      <c r="W23">
        <v>6.87</v>
      </c>
      <c r="AB23">
        <v>6.0353380000000003E-3</v>
      </c>
      <c r="AC23">
        <v>7.6412420000000003E-3</v>
      </c>
      <c r="AD23">
        <v>1.9940000000000001E-3</v>
      </c>
      <c r="AE23">
        <v>2.983E-3</v>
      </c>
      <c r="AF23">
        <v>3.9610000000000001E-3</v>
      </c>
      <c r="AG23">
        <v>3.967E-3</v>
      </c>
    </row>
    <row r="24" spans="1:33" x14ac:dyDescent="0.25">
      <c r="B24">
        <v>3749492</v>
      </c>
      <c r="C24">
        <v>4419212</v>
      </c>
      <c r="D24">
        <v>8246</v>
      </c>
      <c r="E24">
        <v>8908</v>
      </c>
      <c r="F24">
        <v>34002</v>
      </c>
      <c r="G24">
        <v>34572</v>
      </c>
      <c r="H24">
        <v>137614</v>
      </c>
      <c r="I24">
        <v>233248</v>
      </c>
      <c r="J24">
        <v>141652</v>
      </c>
      <c r="K24">
        <v>144584</v>
      </c>
      <c r="L24">
        <v>3733154</v>
      </c>
      <c r="M24">
        <v>4544390</v>
      </c>
      <c r="N24">
        <v>30716</v>
      </c>
      <c r="O24">
        <v>35814</v>
      </c>
      <c r="P24">
        <v>15602</v>
      </c>
      <c r="Q24">
        <v>18230</v>
      </c>
      <c r="R24">
        <v>38498</v>
      </c>
      <c r="S24">
        <v>45054</v>
      </c>
      <c r="T24">
        <v>143218</v>
      </c>
      <c r="U24">
        <v>219828</v>
      </c>
      <c r="V24">
        <v>6.03</v>
      </c>
      <c r="W24">
        <v>7</v>
      </c>
      <c r="AB24">
        <v>6.2165120000000004E-3</v>
      </c>
      <c r="AC24">
        <v>7.7037529999999998E-3</v>
      </c>
      <c r="AD24">
        <v>2.6310000000000001E-3</v>
      </c>
      <c r="AE24">
        <v>1.0169999999999999E-3</v>
      </c>
      <c r="AF24">
        <v>3.4859999999999999E-3</v>
      </c>
      <c r="AG24">
        <v>6.0549999999999996E-3</v>
      </c>
    </row>
    <row r="25" spans="1:33" x14ac:dyDescent="0.25">
      <c r="B25">
        <v>5026458</v>
      </c>
      <c r="C25">
        <v>5803224</v>
      </c>
      <c r="D25">
        <v>7880</v>
      </c>
      <c r="E25">
        <v>8948</v>
      </c>
      <c r="F25">
        <v>38750</v>
      </c>
      <c r="G25">
        <v>35454</v>
      </c>
      <c r="H25">
        <v>161410</v>
      </c>
      <c r="I25">
        <v>208358</v>
      </c>
      <c r="J25">
        <v>153280</v>
      </c>
      <c r="K25">
        <v>192532</v>
      </c>
      <c r="L25">
        <v>4945896</v>
      </c>
      <c r="M25">
        <v>5700720</v>
      </c>
      <c r="N25">
        <v>29840</v>
      </c>
      <c r="O25">
        <v>34148</v>
      </c>
      <c r="P25">
        <v>14698</v>
      </c>
      <c r="Q25">
        <v>18264</v>
      </c>
      <c r="R25">
        <v>39392</v>
      </c>
      <c r="S25">
        <v>43334</v>
      </c>
      <c r="T25">
        <v>151012</v>
      </c>
      <c r="U25">
        <v>171230</v>
      </c>
      <c r="V25">
        <v>5.89</v>
      </c>
      <c r="W25">
        <v>7.09</v>
      </c>
      <c r="AB25">
        <v>6.0571770000000004E-3</v>
      </c>
      <c r="AC25">
        <v>7.2898700000000004E-3</v>
      </c>
      <c r="AD25">
        <v>1.0009999999999999E-3</v>
      </c>
      <c r="AE25">
        <v>3.0739999999999999E-3</v>
      </c>
      <c r="AF25">
        <v>4.973E-3</v>
      </c>
      <c r="AG25">
        <v>4.0879999999999996E-3</v>
      </c>
    </row>
    <row r="26" spans="1:33" x14ac:dyDescent="0.25">
      <c r="B26">
        <v>3685278</v>
      </c>
      <c r="C26">
        <v>4305626</v>
      </c>
      <c r="D26">
        <v>7674</v>
      </c>
      <c r="E26">
        <v>9052</v>
      </c>
      <c r="F26">
        <v>36378</v>
      </c>
      <c r="G26">
        <v>36616</v>
      </c>
      <c r="H26">
        <v>142690</v>
      </c>
      <c r="I26">
        <v>173570</v>
      </c>
      <c r="J26">
        <v>138138</v>
      </c>
      <c r="K26">
        <v>144920</v>
      </c>
      <c r="L26">
        <v>3807860</v>
      </c>
      <c r="M26">
        <v>4394028</v>
      </c>
      <c r="N26">
        <v>30540</v>
      </c>
      <c r="O26">
        <v>33788</v>
      </c>
      <c r="P26">
        <v>16204</v>
      </c>
      <c r="Q26">
        <v>18730</v>
      </c>
      <c r="R26">
        <v>44360</v>
      </c>
      <c r="S26">
        <v>46180</v>
      </c>
      <c r="T26">
        <v>146454</v>
      </c>
      <c r="U26">
        <v>180040</v>
      </c>
      <c r="V26">
        <v>6.04</v>
      </c>
      <c r="W26">
        <v>7.12</v>
      </c>
      <c r="AB26">
        <v>6.2358860000000004E-3</v>
      </c>
      <c r="AC26">
        <v>7.3053579999999996E-3</v>
      </c>
      <c r="AD26">
        <v>9.8900000000000008E-4</v>
      </c>
      <c r="AE26">
        <v>1.0300000000000001E-3</v>
      </c>
      <c r="AF26">
        <v>5.13E-3</v>
      </c>
      <c r="AG26">
        <v>6.1380000000000002E-3</v>
      </c>
    </row>
    <row r="27" spans="1:33" x14ac:dyDescent="0.25">
      <c r="B27">
        <v>4847056</v>
      </c>
      <c r="C27">
        <v>5748026</v>
      </c>
      <c r="D27">
        <v>8236</v>
      </c>
      <c r="E27">
        <v>8308</v>
      </c>
      <c r="F27">
        <v>32836</v>
      </c>
      <c r="G27">
        <v>32256</v>
      </c>
      <c r="H27">
        <v>158226</v>
      </c>
      <c r="I27">
        <v>1339688</v>
      </c>
      <c r="J27">
        <v>153078</v>
      </c>
      <c r="K27">
        <v>165820</v>
      </c>
      <c r="L27">
        <v>4813606</v>
      </c>
      <c r="M27">
        <v>5722240</v>
      </c>
      <c r="N27">
        <v>33164</v>
      </c>
      <c r="O27">
        <v>34082</v>
      </c>
      <c r="P27">
        <v>16398</v>
      </c>
      <c r="Q27">
        <v>17744</v>
      </c>
      <c r="R27">
        <v>41526</v>
      </c>
      <c r="S27">
        <v>43230</v>
      </c>
      <c r="T27">
        <v>195762</v>
      </c>
      <c r="U27">
        <v>166968</v>
      </c>
      <c r="V27">
        <v>6.06</v>
      </c>
      <c r="W27">
        <v>6.96</v>
      </c>
      <c r="AB27">
        <v>6.226741E-3</v>
      </c>
      <c r="AC27">
        <v>7.6993419999999996E-3</v>
      </c>
      <c r="AD27">
        <v>2.0579999999999999E-3</v>
      </c>
      <c r="AE27">
        <v>2.0049999999999998E-3</v>
      </c>
      <c r="AF27">
        <v>4.0850000000000001E-3</v>
      </c>
      <c r="AG27">
        <v>5.0130000000000001E-3</v>
      </c>
    </row>
    <row r="28" spans="1:33" x14ac:dyDescent="0.25">
      <c r="B28">
        <v>3557162</v>
      </c>
      <c r="C28">
        <v>4710482</v>
      </c>
      <c r="D28">
        <v>7244</v>
      </c>
      <c r="E28">
        <v>8920</v>
      </c>
      <c r="F28">
        <v>30850</v>
      </c>
      <c r="G28">
        <v>35134</v>
      </c>
      <c r="H28">
        <v>137034</v>
      </c>
      <c r="I28">
        <v>391676</v>
      </c>
      <c r="J28">
        <v>139302</v>
      </c>
      <c r="K28">
        <v>146384</v>
      </c>
      <c r="L28">
        <v>3603068</v>
      </c>
      <c r="M28">
        <v>4235824</v>
      </c>
      <c r="N28">
        <v>31210</v>
      </c>
      <c r="O28">
        <v>34960</v>
      </c>
      <c r="P28">
        <v>15308</v>
      </c>
      <c r="Q28">
        <v>18500</v>
      </c>
      <c r="R28">
        <v>45928</v>
      </c>
      <c r="S28">
        <v>43872</v>
      </c>
      <c r="T28">
        <v>141494</v>
      </c>
      <c r="U28">
        <v>149874</v>
      </c>
      <c r="V28">
        <v>5.91</v>
      </c>
      <c r="W28">
        <v>7.23</v>
      </c>
      <c r="AB28">
        <v>6.086157E-3</v>
      </c>
      <c r="AC28">
        <v>7.4195850000000002E-3</v>
      </c>
      <c r="AD28">
        <v>2.013E-3</v>
      </c>
      <c r="AE28">
        <v>2.0920000000000001E-3</v>
      </c>
      <c r="AF28">
        <v>3.98E-3</v>
      </c>
      <c r="AG28">
        <v>5.2090000000000001E-3</v>
      </c>
    </row>
    <row r="29" spans="1:33" x14ac:dyDescent="0.25">
      <c r="B29">
        <f>AVERAGE(B19:B28)</f>
        <v>4268442</v>
      </c>
      <c r="C29">
        <f t="shared" ref="C29:AG29" si="1">AVERAGE(C19:C28)</f>
        <v>5253701.8</v>
      </c>
      <c r="D29">
        <f t="shared" si="1"/>
        <v>9701.4</v>
      </c>
      <c r="E29">
        <f t="shared" si="1"/>
        <v>8805.4</v>
      </c>
      <c r="F29">
        <f t="shared" si="1"/>
        <v>38350.400000000001</v>
      </c>
      <c r="G29">
        <f t="shared" si="1"/>
        <v>38755</v>
      </c>
      <c r="H29">
        <f t="shared" si="1"/>
        <v>148031.79999999999</v>
      </c>
      <c r="I29">
        <f t="shared" si="1"/>
        <v>449393.4</v>
      </c>
      <c r="J29">
        <f t="shared" si="1"/>
        <v>148353</v>
      </c>
      <c r="K29">
        <f t="shared" si="1"/>
        <v>161027.79999999999</v>
      </c>
      <c r="L29">
        <f t="shared" si="1"/>
        <v>4316493.8</v>
      </c>
      <c r="M29">
        <f t="shared" si="1"/>
        <v>5113834</v>
      </c>
      <c r="N29">
        <f t="shared" si="1"/>
        <v>31284</v>
      </c>
      <c r="O29">
        <f t="shared" si="1"/>
        <v>40803.599999999999</v>
      </c>
      <c r="P29">
        <f t="shared" si="1"/>
        <v>15419.4</v>
      </c>
      <c r="Q29">
        <f t="shared" si="1"/>
        <v>18178.2</v>
      </c>
      <c r="R29">
        <f t="shared" si="1"/>
        <v>44641.8</v>
      </c>
      <c r="S29">
        <f t="shared" si="1"/>
        <v>42044.6</v>
      </c>
      <c r="T29">
        <f t="shared" si="1"/>
        <v>157365.6</v>
      </c>
      <c r="U29">
        <f t="shared" si="1"/>
        <v>175379.8</v>
      </c>
      <c r="V29">
        <f t="shared" si="1"/>
        <v>5.9680000000000009</v>
      </c>
      <c r="W29">
        <f t="shared" si="1"/>
        <v>7.0409999999999995</v>
      </c>
      <c r="X29" t="e">
        <f t="shared" si="1"/>
        <v>#DIV/0!</v>
      </c>
      <c r="Y29" t="e">
        <f t="shared" si="1"/>
        <v>#DIV/0!</v>
      </c>
      <c r="Z29" t="e">
        <f t="shared" si="1"/>
        <v>#DIV/0!</v>
      </c>
      <c r="AA29" t="e">
        <f t="shared" si="1"/>
        <v>#DIV/0!</v>
      </c>
      <c r="AB29">
        <f t="shared" si="1"/>
        <v>6.1434274000000001E-3</v>
      </c>
      <c r="AC29">
        <f t="shared" si="1"/>
        <v>7.3964945000000006E-3</v>
      </c>
      <c r="AD29">
        <f t="shared" si="1"/>
        <v>1.7348999999999999E-3</v>
      </c>
      <c r="AE29">
        <f t="shared" si="1"/>
        <v>2.4394999999999998E-3</v>
      </c>
      <c r="AF29">
        <f t="shared" si="1"/>
        <v>4.3183999999999991E-3</v>
      </c>
      <c r="AG29">
        <f t="shared" si="1"/>
        <v>4.6720999999999993E-3</v>
      </c>
    </row>
    <row r="30" spans="1:33" x14ac:dyDescent="0.25">
      <c r="C30">
        <f>100*C29/B29</f>
        <v>123.08242211092478</v>
      </c>
      <c r="E30">
        <f>100*E29/D29</f>
        <v>90.764219597171547</v>
      </c>
      <c r="G30">
        <f>100*G29/F29</f>
        <v>101.05500855271391</v>
      </c>
      <c r="I30">
        <f>100*I29/H29</f>
        <v>303.57896073681468</v>
      </c>
      <c r="K30">
        <f>100*K29/J29</f>
        <v>108.54367623169061</v>
      </c>
      <c r="M30">
        <f>100*M29/L29</f>
        <v>118.47194127789551</v>
      </c>
      <c r="O30">
        <f>100*O29/N29</f>
        <v>130.42961258151132</v>
      </c>
      <c r="Q30">
        <f>100*Q29/P29</f>
        <v>117.89174676057435</v>
      </c>
      <c r="S30">
        <f>100*S29/R29</f>
        <v>94.182134232938637</v>
      </c>
      <c r="U30">
        <f>100*U29/T29</f>
        <v>111.4473557117947</v>
      </c>
      <c r="W30">
        <f>100*W29/V29</f>
        <v>117.9792225201072</v>
      </c>
      <c r="Y30" t="e">
        <f>100*Y29/X29</f>
        <v>#DIV/0!</v>
      </c>
      <c r="AA30" t="e">
        <f>100*AA29/Z29</f>
        <v>#DIV/0!</v>
      </c>
      <c r="AC30">
        <f>100*AC29/AB29</f>
        <v>120.39687325026418</v>
      </c>
      <c r="AE30">
        <f>100*AE29/AD29</f>
        <v>140.61329183238226</v>
      </c>
      <c r="AG30">
        <f>100*AG29/AF29</f>
        <v>108.1905335309374</v>
      </c>
    </row>
    <row r="31" spans="1:33" x14ac:dyDescent="0.25">
      <c r="C31">
        <f>AVERAGE(C30,M30)</f>
        <v>120.77718169441015</v>
      </c>
      <c r="G31">
        <f>AVERAGE(G30,S30)</f>
        <v>97.618571392826283</v>
      </c>
      <c r="K31">
        <f>AVERAGE(K30,U30)</f>
        <v>109.99551597174266</v>
      </c>
    </row>
    <row r="33" spans="1:7" x14ac:dyDescent="0.25">
      <c r="F33">
        <v>1</v>
      </c>
      <c r="G33">
        <v>10</v>
      </c>
    </row>
    <row r="34" spans="1:7" x14ac:dyDescent="0.25">
      <c r="A34" t="s">
        <v>116</v>
      </c>
      <c r="B34" t="s">
        <v>117</v>
      </c>
      <c r="C34">
        <v>48143236</v>
      </c>
      <c r="E34" t="s">
        <v>119</v>
      </c>
      <c r="F34">
        <v>4</v>
      </c>
      <c r="G34">
        <v>2</v>
      </c>
    </row>
    <row r="35" spans="1:7" x14ac:dyDescent="0.25">
      <c r="A35" t="s">
        <v>116</v>
      </c>
      <c r="B35" t="s">
        <v>117</v>
      </c>
      <c r="C35">
        <v>47671408</v>
      </c>
    </row>
    <row r="36" spans="1:7" x14ac:dyDescent="0.25">
      <c r="A36" t="s">
        <v>116</v>
      </c>
      <c r="B36" t="s">
        <v>117</v>
      </c>
      <c r="C36">
        <v>47911502</v>
      </c>
    </row>
    <row r="37" spans="1:7" x14ac:dyDescent="0.25">
      <c r="A37" t="s">
        <v>116</v>
      </c>
      <c r="B37" t="s">
        <v>117</v>
      </c>
      <c r="C37">
        <v>47784830</v>
      </c>
    </row>
    <row r="38" spans="1:7" x14ac:dyDescent="0.25">
      <c r="A38" t="s">
        <v>116</v>
      </c>
      <c r="B38" t="s">
        <v>117</v>
      </c>
      <c r="C38">
        <v>47924126</v>
      </c>
    </row>
    <row r="39" spans="1:7" x14ac:dyDescent="0.25">
      <c r="A39" t="s">
        <v>116</v>
      </c>
      <c r="B39" t="s">
        <v>117</v>
      </c>
      <c r="C39">
        <v>47987654</v>
      </c>
    </row>
    <row r="40" spans="1:7" x14ac:dyDescent="0.25">
      <c r="A40" t="s">
        <v>116</v>
      </c>
      <c r="B40" t="s">
        <v>117</v>
      </c>
      <c r="C40">
        <v>47942554</v>
      </c>
    </row>
    <row r="41" spans="1:7" x14ac:dyDescent="0.25">
      <c r="A41" t="s">
        <v>116</v>
      </c>
      <c r="B41" t="s">
        <v>117</v>
      </c>
      <c r="C41">
        <v>48543636</v>
      </c>
    </row>
    <row r="42" spans="1:7" x14ac:dyDescent="0.25">
      <c r="A42" t="s">
        <v>116</v>
      </c>
      <c r="B42" t="s">
        <v>117</v>
      </c>
      <c r="C42">
        <v>47880524</v>
      </c>
    </row>
    <row r="43" spans="1:7" x14ac:dyDescent="0.25">
      <c r="A43" t="s">
        <v>116</v>
      </c>
      <c r="B43" t="s">
        <v>117</v>
      </c>
      <c r="C43">
        <v>54263798</v>
      </c>
    </row>
    <row r="44" spans="1:7" x14ac:dyDescent="0.25">
      <c r="A44" t="s">
        <v>116</v>
      </c>
      <c r="B44" t="s">
        <v>117</v>
      </c>
      <c r="C44">
        <v>48111036</v>
      </c>
    </row>
    <row r="45" spans="1:7" x14ac:dyDescent="0.25">
      <c r="A45" t="s">
        <v>116</v>
      </c>
      <c r="B45" t="s">
        <v>117</v>
      </c>
      <c r="C45">
        <v>47952588</v>
      </c>
    </row>
    <row r="46" spans="1:7" x14ac:dyDescent="0.25">
      <c r="A46" t="s">
        <v>116</v>
      </c>
      <c r="B46" t="s">
        <v>117</v>
      </c>
      <c r="C46">
        <v>47812590</v>
      </c>
    </row>
    <row r="47" spans="1:7" x14ac:dyDescent="0.25">
      <c r="A47" t="s">
        <v>116</v>
      </c>
      <c r="B47" t="s">
        <v>117</v>
      </c>
      <c r="C47">
        <v>48029748</v>
      </c>
    </row>
    <row r="48" spans="1:7" x14ac:dyDescent="0.25">
      <c r="A48" t="s">
        <v>116</v>
      </c>
      <c r="B48" t="s">
        <v>117</v>
      </c>
      <c r="C48">
        <v>47800470</v>
      </c>
    </row>
    <row r="49" spans="1:3" x14ac:dyDescent="0.25">
      <c r="A49" t="s">
        <v>116</v>
      </c>
      <c r="B49" t="s">
        <v>117</v>
      </c>
      <c r="C49">
        <v>47792056</v>
      </c>
    </row>
    <row r="50" spans="1:3" x14ac:dyDescent="0.25">
      <c r="A50" t="s">
        <v>116</v>
      </c>
      <c r="B50" t="s">
        <v>117</v>
      </c>
      <c r="C50">
        <v>47492270</v>
      </c>
    </row>
    <row r="51" spans="1:3" x14ac:dyDescent="0.25">
      <c r="A51" t="s">
        <v>116</v>
      </c>
      <c r="B51" t="s">
        <v>117</v>
      </c>
      <c r="C51">
        <v>48079372</v>
      </c>
    </row>
    <row r="52" spans="1:3" x14ac:dyDescent="0.25">
      <c r="A52" t="s">
        <v>116</v>
      </c>
      <c r="B52" t="s">
        <v>117</v>
      </c>
      <c r="C52">
        <v>48232084</v>
      </c>
    </row>
    <row r="53" spans="1:3" x14ac:dyDescent="0.25">
      <c r="A53" t="s">
        <v>116</v>
      </c>
      <c r="B53" t="s">
        <v>117</v>
      </c>
      <c r="C53">
        <v>47937948</v>
      </c>
    </row>
    <row r="54" spans="1:3" x14ac:dyDescent="0.25">
      <c r="C54">
        <f>AVERAGE(C34:C53)</f>
        <v>48264671.5</v>
      </c>
    </row>
    <row r="90" spans="1:23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  <c r="T90" t="s">
        <v>81</v>
      </c>
      <c r="U90" t="s">
        <v>82</v>
      </c>
      <c r="V90" t="s">
        <v>81</v>
      </c>
      <c r="W90" t="s">
        <v>82</v>
      </c>
    </row>
    <row r="91" spans="1:23" x14ac:dyDescent="0.25">
      <c r="B91" t="s">
        <v>112</v>
      </c>
      <c r="C91" t="s">
        <v>112</v>
      </c>
      <c r="D91" t="s">
        <v>99</v>
      </c>
      <c r="E91" t="s">
        <v>99</v>
      </c>
      <c r="F91" t="s">
        <v>129</v>
      </c>
      <c r="G91" t="s">
        <v>129</v>
      </c>
      <c r="H91" t="s">
        <v>130</v>
      </c>
      <c r="I91" t="s">
        <v>130</v>
      </c>
      <c r="J91" t="s">
        <v>84</v>
      </c>
      <c r="K91" t="s">
        <v>84</v>
      </c>
      <c r="L91" t="s">
        <v>85</v>
      </c>
      <c r="M91" t="s">
        <v>85</v>
      </c>
      <c r="N91" t="s">
        <v>86</v>
      </c>
      <c r="O91" t="s">
        <v>86</v>
      </c>
      <c r="P91" t="s">
        <v>87</v>
      </c>
      <c r="Q91" t="s">
        <v>87</v>
      </c>
      <c r="R91" t="s">
        <v>88</v>
      </c>
      <c r="S91" t="s">
        <v>88</v>
      </c>
      <c r="T91" t="s">
        <v>4</v>
      </c>
      <c r="U91" t="s">
        <v>4</v>
      </c>
      <c r="V91" t="s">
        <v>6</v>
      </c>
      <c r="W91" t="s">
        <v>6</v>
      </c>
    </row>
    <row r="92" spans="1:23" x14ac:dyDescent="0.25">
      <c r="B92">
        <v>37514182</v>
      </c>
      <c r="C92">
        <v>93366222</v>
      </c>
      <c r="D92">
        <v>79914</v>
      </c>
      <c r="E92">
        <v>201926</v>
      </c>
      <c r="F92">
        <v>325046</v>
      </c>
      <c r="G92">
        <v>1006332</v>
      </c>
      <c r="H92">
        <v>148856</v>
      </c>
      <c r="I92">
        <v>195814</v>
      </c>
      <c r="J92">
        <v>1939758</v>
      </c>
      <c r="K92">
        <v>2148480</v>
      </c>
      <c r="L92">
        <v>21.13</v>
      </c>
      <c r="M92">
        <v>49.74</v>
      </c>
      <c r="R92">
        <v>2.130249E-2</v>
      </c>
      <c r="S92">
        <v>4.9930407000000003E-2</v>
      </c>
      <c r="T92">
        <v>1.9940000000000001E-3</v>
      </c>
      <c r="U92">
        <v>7.0349999999999996E-3</v>
      </c>
      <c r="V92">
        <v>1.89E-2</v>
      </c>
      <c r="W92">
        <v>4.2242000000000002E-2</v>
      </c>
    </row>
    <row r="93" spans="1:23" x14ac:dyDescent="0.25">
      <c r="B93">
        <v>36658672</v>
      </c>
      <c r="C93">
        <v>93028984</v>
      </c>
      <c r="D93">
        <v>84028</v>
      </c>
      <c r="E93">
        <v>201438</v>
      </c>
      <c r="F93">
        <v>371200</v>
      </c>
      <c r="G93">
        <v>1080014</v>
      </c>
      <c r="H93">
        <v>149706</v>
      </c>
      <c r="I93">
        <v>181356</v>
      </c>
      <c r="J93">
        <v>1899916</v>
      </c>
      <c r="K93">
        <v>2172734</v>
      </c>
      <c r="L93">
        <v>20.61</v>
      </c>
      <c r="M93">
        <v>49.56</v>
      </c>
      <c r="R93">
        <v>2.0782018999999999E-2</v>
      </c>
      <c r="S93">
        <v>4.9732903000000002E-2</v>
      </c>
      <c r="T93">
        <v>4.888E-3</v>
      </c>
      <c r="U93">
        <v>7.0029999999999997E-3</v>
      </c>
      <c r="V93">
        <v>1.5640999999999999E-2</v>
      </c>
      <c r="W93">
        <v>4.2051999999999999E-2</v>
      </c>
    </row>
    <row r="94" spans="1:23" x14ac:dyDescent="0.25">
      <c r="B94">
        <v>36464790</v>
      </c>
      <c r="C94">
        <v>92824172</v>
      </c>
      <c r="D94">
        <v>81196</v>
      </c>
      <c r="E94">
        <v>207432</v>
      </c>
      <c r="F94">
        <v>357036</v>
      </c>
      <c r="G94">
        <v>1737974</v>
      </c>
      <c r="H94">
        <v>145100</v>
      </c>
      <c r="I94">
        <v>166516</v>
      </c>
      <c r="J94">
        <v>1935048</v>
      </c>
      <c r="K94">
        <v>2149148</v>
      </c>
      <c r="L94">
        <v>20.52</v>
      </c>
      <c r="M94">
        <v>49.7</v>
      </c>
      <c r="R94">
        <v>2.0694701999999999E-2</v>
      </c>
      <c r="S94">
        <v>4.9928629000000002E-2</v>
      </c>
      <c r="T94">
        <v>3.0860000000000002E-3</v>
      </c>
      <c r="U94">
        <v>9.0489999999999998E-3</v>
      </c>
      <c r="V94">
        <v>1.7448000000000002E-2</v>
      </c>
      <c r="W94">
        <v>4.0202000000000002E-2</v>
      </c>
    </row>
    <row r="95" spans="1:23" x14ac:dyDescent="0.25">
      <c r="B95">
        <v>37074920</v>
      </c>
      <c r="C95">
        <v>93074472</v>
      </c>
      <c r="D95">
        <v>84044</v>
      </c>
      <c r="E95">
        <v>243300</v>
      </c>
      <c r="F95">
        <v>385588</v>
      </c>
      <c r="G95">
        <v>993314</v>
      </c>
      <c r="H95">
        <v>148562</v>
      </c>
      <c r="I95">
        <v>168870</v>
      </c>
      <c r="J95">
        <v>1985582</v>
      </c>
      <c r="K95">
        <v>2170980</v>
      </c>
      <c r="L95">
        <v>20.89</v>
      </c>
      <c r="M95">
        <v>49.47</v>
      </c>
      <c r="R95">
        <v>2.1058133999999999E-2</v>
      </c>
      <c r="S95">
        <v>4.9656165000000002E-2</v>
      </c>
      <c r="T95">
        <v>2.9849999999999998E-3</v>
      </c>
      <c r="U95">
        <v>4.8630000000000001E-3</v>
      </c>
      <c r="V95">
        <v>1.7849E-2</v>
      </c>
      <c r="W95">
        <v>4.3776000000000002E-2</v>
      </c>
    </row>
    <row r="96" spans="1:23" x14ac:dyDescent="0.25">
      <c r="B96">
        <v>36858866</v>
      </c>
      <c r="C96">
        <v>92986388</v>
      </c>
      <c r="D96">
        <v>82910</v>
      </c>
      <c r="E96">
        <v>207760</v>
      </c>
      <c r="F96">
        <v>346536</v>
      </c>
      <c r="G96">
        <v>1079398</v>
      </c>
      <c r="H96">
        <v>147608</v>
      </c>
      <c r="I96">
        <v>164202</v>
      </c>
      <c r="J96">
        <v>1925564</v>
      </c>
      <c r="K96">
        <v>2125080</v>
      </c>
      <c r="L96">
        <v>20.7</v>
      </c>
      <c r="M96">
        <v>49.44</v>
      </c>
      <c r="R96">
        <v>2.0873472000000001E-2</v>
      </c>
      <c r="S96">
        <v>4.9644881000000002E-2</v>
      </c>
      <c r="T96">
        <v>3.9519999999999998E-3</v>
      </c>
      <c r="U96">
        <v>7.9920000000000008E-3</v>
      </c>
      <c r="V96">
        <v>1.6757999999999999E-2</v>
      </c>
      <c r="W96">
        <v>4.0953000000000003E-2</v>
      </c>
    </row>
    <row r="97" spans="2:23" x14ac:dyDescent="0.25">
      <c r="B97">
        <v>36808004</v>
      </c>
      <c r="C97">
        <v>93277136</v>
      </c>
      <c r="D97">
        <v>82506</v>
      </c>
      <c r="E97">
        <v>205798</v>
      </c>
      <c r="F97">
        <v>389886</v>
      </c>
      <c r="G97">
        <v>1006902</v>
      </c>
      <c r="H97">
        <v>144318</v>
      </c>
      <c r="I97">
        <v>166126</v>
      </c>
      <c r="J97">
        <v>1946936</v>
      </c>
      <c r="K97">
        <v>2212988</v>
      </c>
      <c r="L97">
        <v>20.71</v>
      </c>
      <c r="M97">
        <v>49.61</v>
      </c>
      <c r="R97">
        <v>2.0877679999999999E-2</v>
      </c>
      <c r="S97">
        <v>4.9784815000000003E-2</v>
      </c>
      <c r="T97">
        <v>3.9439999999999996E-3</v>
      </c>
      <c r="U97">
        <v>6.875E-3</v>
      </c>
      <c r="V97">
        <v>1.6729000000000001E-2</v>
      </c>
      <c r="W97">
        <v>4.2222999999999997E-2</v>
      </c>
    </row>
    <row r="98" spans="2:23" x14ac:dyDescent="0.25">
      <c r="B98">
        <v>36990382</v>
      </c>
      <c r="C98">
        <v>92822188</v>
      </c>
      <c r="D98">
        <v>83296</v>
      </c>
      <c r="E98">
        <v>205632</v>
      </c>
      <c r="F98">
        <v>351504</v>
      </c>
      <c r="G98">
        <v>1031544</v>
      </c>
      <c r="H98">
        <v>147944</v>
      </c>
      <c r="I98">
        <v>188202</v>
      </c>
      <c r="J98">
        <v>2119748</v>
      </c>
      <c r="K98">
        <v>2198114</v>
      </c>
      <c r="L98">
        <v>20.88</v>
      </c>
      <c r="M98">
        <v>49.35</v>
      </c>
      <c r="R98">
        <v>2.1056332000000001E-2</v>
      </c>
      <c r="S98">
        <v>4.9553352000000002E-2</v>
      </c>
      <c r="T98">
        <v>9.9099999999999991E-4</v>
      </c>
      <c r="U98">
        <v>6.9179999999999997E-3</v>
      </c>
      <c r="V98">
        <v>1.9774E-2</v>
      </c>
      <c r="W98">
        <v>4.1480000000000003E-2</v>
      </c>
    </row>
    <row r="99" spans="2:23" x14ac:dyDescent="0.25">
      <c r="B99">
        <v>37076562</v>
      </c>
      <c r="C99">
        <v>93520326</v>
      </c>
      <c r="D99">
        <v>84280</v>
      </c>
      <c r="E99">
        <v>201204</v>
      </c>
      <c r="F99">
        <v>348880</v>
      </c>
      <c r="G99">
        <v>1036190</v>
      </c>
      <c r="H99">
        <v>152118</v>
      </c>
      <c r="I99">
        <v>314164</v>
      </c>
      <c r="J99">
        <v>2034936</v>
      </c>
      <c r="K99">
        <v>2259408</v>
      </c>
      <c r="L99">
        <v>20.91</v>
      </c>
      <c r="M99">
        <v>49.72</v>
      </c>
      <c r="R99">
        <v>2.1085863999999999E-2</v>
      </c>
      <c r="S99">
        <v>4.9994933999999998E-2</v>
      </c>
      <c r="T99">
        <v>3.973E-3</v>
      </c>
      <c r="U99">
        <v>7.8770000000000003E-3</v>
      </c>
      <c r="V99">
        <v>1.685E-2</v>
      </c>
      <c r="W99">
        <v>4.1333000000000002E-2</v>
      </c>
    </row>
    <row r="100" spans="2:23" x14ac:dyDescent="0.25">
      <c r="B100">
        <v>37166226</v>
      </c>
      <c r="C100">
        <v>93055398</v>
      </c>
      <c r="D100">
        <v>83992</v>
      </c>
      <c r="E100">
        <v>201024</v>
      </c>
      <c r="F100">
        <v>349506</v>
      </c>
      <c r="G100">
        <v>1647486</v>
      </c>
      <c r="H100">
        <v>1093080</v>
      </c>
      <c r="I100">
        <v>167642</v>
      </c>
      <c r="J100">
        <v>1931760</v>
      </c>
      <c r="K100">
        <v>2154308</v>
      </c>
      <c r="L100">
        <v>20.86</v>
      </c>
      <c r="M100">
        <v>49.78</v>
      </c>
      <c r="R100">
        <v>2.1523481000000001E-2</v>
      </c>
      <c r="S100">
        <v>4.9974508000000001E-2</v>
      </c>
      <c r="T100">
        <v>1.042E-3</v>
      </c>
      <c r="U100">
        <v>6.0309999999999999E-3</v>
      </c>
      <c r="V100">
        <v>1.968E-2</v>
      </c>
      <c r="W100">
        <v>4.3233000000000001E-2</v>
      </c>
    </row>
    <row r="101" spans="2:23" x14ac:dyDescent="0.25">
      <c r="B101">
        <v>36606416</v>
      </c>
      <c r="C101">
        <v>94742004</v>
      </c>
      <c r="D101">
        <v>81806</v>
      </c>
      <c r="E101">
        <v>206102</v>
      </c>
      <c r="F101">
        <v>384730</v>
      </c>
      <c r="G101">
        <v>998270</v>
      </c>
      <c r="H101">
        <v>149204</v>
      </c>
      <c r="I101">
        <v>211468</v>
      </c>
      <c r="J101">
        <v>1897682</v>
      </c>
      <c r="K101">
        <v>2167196</v>
      </c>
      <c r="L101">
        <v>20.58</v>
      </c>
      <c r="M101">
        <v>50.33</v>
      </c>
      <c r="R101">
        <v>2.0745664E-2</v>
      </c>
      <c r="S101">
        <v>5.0509249999999999E-2</v>
      </c>
      <c r="T101">
        <v>1.957E-3</v>
      </c>
      <c r="U101">
        <v>5.9769999999999997E-3</v>
      </c>
      <c r="V101">
        <v>1.8582999999999999E-2</v>
      </c>
      <c r="W101">
        <v>4.3841999999999999E-2</v>
      </c>
    </row>
    <row r="102" spans="2:23" x14ac:dyDescent="0.25">
      <c r="B102">
        <f>AVERAGE(B92:B101)</f>
        <v>36921902</v>
      </c>
      <c r="C102">
        <f t="shared" ref="C102:W102" si="2">AVERAGE(C92:C101)</f>
        <v>93269729</v>
      </c>
      <c r="D102">
        <f t="shared" si="2"/>
        <v>82797.2</v>
      </c>
      <c r="E102">
        <f t="shared" si="2"/>
        <v>208161.6</v>
      </c>
      <c r="F102">
        <f t="shared" si="2"/>
        <v>360991.2</v>
      </c>
      <c r="G102">
        <f t="shared" si="2"/>
        <v>1161742.3999999999</v>
      </c>
      <c r="H102">
        <f t="shared" si="2"/>
        <v>242649.60000000001</v>
      </c>
      <c r="I102">
        <f t="shared" si="2"/>
        <v>192436</v>
      </c>
      <c r="J102">
        <f t="shared" si="2"/>
        <v>1961693</v>
      </c>
      <c r="K102">
        <f t="shared" si="2"/>
        <v>2175843.6</v>
      </c>
      <c r="L102">
        <f t="shared" si="2"/>
        <v>20.778999999999996</v>
      </c>
      <c r="M102">
        <f t="shared" si="2"/>
        <v>49.67</v>
      </c>
      <c r="N102" t="e">
        <f t="shared" si="2"/>
        <v>#DIV/0!</v>
      </c>
      <c r="O102" t="e">
        <f t="shared" si="2"/>
        <v>#DIV/0!</v>
      </c>
      <c r="P102" t="e">
        <f t="shared" si="2"/>
        <v>#DIV/0!</v>
      </c>
      <c r="Q102" t="e">
        <f t="shared" si="2"/>
        <v>#DIV/0!</v>
      </c>
      <c r="R102">
        <f t="shared" si="2"/>
        <v>2.0999983800000004E-2</v>
      </c>
      <c r="S102">
        <f t="shared" si="2"/>
        <v>4.9870984399999999E-2</v>
      </c>
      <c r="T102">
        <f t="shared" si="2"/>
        <v>2.8812E-3</v>
      </c>
      <c r="U102">
        <f t="shared" si="2"/>
        <v>6.9619999999999986E-3</v>
      </c>
      <c r="V102">
        <f t="shared" si="2"/>
        <v>1.7821199999999999E-2</v>
      </c>
      <c r="W102">
        <f t="shared" si="2"/>
        <v>4.2133600000000007E-2</v>
      </c>
    </row>
    <row r="103" spans="2:23" x14ac:dyDescent="0.25">
      <c r="C103">
        <f>100*C102/B102</f>
        <v>252.61355441547946</v>
      </c>
      <c r="E103">
        <f>100*E102/D102</f>
        <v>251.4114003855203</v>
      </c>
      <c r="G103">
        <f>100*G102/F102</f>
        <v>321.82014409215509</v>
      </c>
      <c r="I103">
        <f>100*I102/H102</f>
        <v>79.306127024318187</v>
      </c>
      <c r="K103">
        <f>100*K102/J102</f>
        <v>110.91662151009358</v>
      </c>
      <c r="M103">
        <f>100*M102/L102</f>
        <v>239.03941479378221</v>
      </c>
      <c r="S103">
        <f>100*S102/R102</f>
        <v>237.4810612949139</v>
      </c>
      <c r="U103">
        <f>100*U102/T102</f>
        <v>241.63542968207685</v>
      </c>
      <c r="W103">
        <f>100*W102/V102</f>
        <v>236.4240342962315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4D9E6-86D5-41EE-B684-A9E9618DC66A}">
  <dimension ref="A1:Y103"/>
  <sheetViews>
    <sheetView tabSelected="1" topLeftCell="A71" workbookViewId="0">
      <selection activeCell="I84" sqref="I84"/>
    </sheetView>
  </sheetViews>
  <sheetFormatPr defaultRowHeight="15" x14ac:dyDescent="0.25"/>
  <cols>
    <col min="2" max="3" width="11.5703125" bestFit="1" customWidth="1"/>
    <col min="4" max="4" width="15.7109375" bestFit="1" customWidth="1"/>
    <col min="5" max="5" width="16.42578125" bestFit="1" customWidth="1"/>
    <col min="6" max="7" width="13.7109375" bestFit="1" customWidth="1"/>
    <col min="8" max="9" width="15.7109375" bestFit="1" customWidth="1"/>
    <col min="10" max="10" width="13.7109375" bestFit="1" customWidth="1"/>
    <col min="11" max="11" width="14.7109375" bestFit="1" customWidth="1"/>
    <col min="12" max="13" width="10.5703125" bestFit="1" customWidth="1"/>
    <col min="14" max="15" width="10.28515625" bestFit="1" customWidth="1"/>
    <col min="16" max="17" width="10.5703125" bestFit="1" customWidth="1"/>
    <col min="20" max="21" width="12" bestFit="1" customWidth="1"/>
    <col min="22" max="22" width="10" bestFit="1" customWidth="1"/>
    <col min="23" max="23" width="11" bestFit="1" customWidth="1"/>
    <col min="24" max="25" width="9" bestFit="1" customWidth="1"/>
  </cols>
  <sheetData>
    <row r="1" spans="1:25" x14ac:dyDescent="0.25">
      <c r="A1" t="s">
        <v>111</v>
      </c>
      <c r="B1" t="s">
        <v>81</v>
      </c>
      <c r="C1" t="s">
        <v>82</v>
      </c>
      <c r="D1" t="s">
        <v>81</v>
      </c>
      <c r="E1" t="s">
        <v>82</v>
      </c>
      <c r="F1" t="s">
        <v>81</v>
      </c>
      <c r="G1" t="s">
        <v>82</v>
      </c>
      <c r="H1" t="s">
        <v>81</v>
      </c>
      <c r="I1" t="s">
        <v>82</v>
      </c>
      <c r="J1" t="s">
        <v>81</v>
      </c>
      <c r="K1" t="s">
        <v>82</v>
      </c>
      <c r="L1" t="s">
        <v>81</v>
      </c>
      <c r="M1" t="s">
        <v>82</v>
      </c>
      <c r="N1" t="s">
        <v>81</v>
      </c>
      <c r="O1" t="s">
        <v>82</v>
      </c>
      <c r="P1" t="s">
        <v>81</v>
      </c>
      <c r="Q1" t="s">
        <v>82</v>
      </c>
      <c r="R1" t="s">
        <v>81</v>
      </c>
      <c r="S1" t="s">
        <v>82</v>
      </c>
      <c r="T1" t="s">
        <v>81</v>
      </c>
      <c r="U1" t="s">
        <v>82</v>
      </c>
      <c r="V1" t="s">
        <v>81</v>
      </c>
      <c r="W1" t="s">
        <v>82</v>
      </c>
      <c r="X1" t="s">
        <v>81</v>
      </c>
      <c r="Y1" t="s">
        <v>82</v>
      </c>
    </row>
    <row r="2" spans="1:25" x14ac:dyDescent="0.25">
      <c r="B2" t="s">
        <v>112</v>
      </c>
      <c r="C2" t="s">
        <v>112</v>
      </c>
      <c r="D2" t="s">
        <v>104</v>
      </c>
      <c r="E2" t="s">
        <v>104</v>
      </c>
      <c r="F2" t="s">
        <v>105</v>
      </c>
      <c r="G2" t="s">
        <v>105</v>
      </c>
      <c r="H2" t="s">
        <v>93</v>
      </c>
      <c r="I2" t="s">
        <v>93</v>
      </c>
      <c r="J2" t="s">
        <v>106</v>
      </c>
      <c r="K2" t="s">
        <v>106</v>
      </c>
      <c r="L2" t="s">
        <v>84</v>
      </c>
      <c r="M2" t="s">
        <v>84</v>
      </c>
      <c r="N2" t="s">
        <v>85</v>
      </c>
      <c r="O2" t="s">
        <v>85</v>
      </c>
      <c r="P2" t="s">
        <v>86</v>
      </c>
      <c r="Q2" t="s">
        <v>86</v>
      </c>
      <c r="R2" t="s">
        <v>87</v>
      </c>
      <c r="S2" t="s">
        <v>87</v>
      </c>
      <c r="T2" t="s">
        <v>88</v>
      </c>
      <c r="U2" t="s">
        <v>88</v>
      </c>
      <c r="V2" t="s">
        <v>4</v>
      </c>
      <c r="W2" t="s">
        <v>4</v>
      </c>
      <c r="X2" t="s">
        <v>6</v>
      </c>
      <c r="Y2" t="s">
        <v>6</v>
      </c>
    </row>
    <row r="3" spans="1:25" x14ac:dyDescent="0.25">
      <c r="B3">
        <v>34268440</v>
      </c>
      <c r="C3">
        <v>101412782</v>
      </c>
      <c r="D3" s="2">
        <v>269470311032</v>
      </c>
      <c r="E3" s="2">
        <v>297111725680</v>
      </c>
      <c r="F3">
        <v>3409815630</v>
      </c>
      <c r="G3">
        <v>7933509142</v>
      </c>
      <c r="H3" s="2">
        <v>277941845272</v>
      </c>
      <c r="I3" s="2">
        <v>307578280242</v>
      </c>
      <c r="J3">
        <v>3785347856</v>
      </c>
      <c r="K3">
        <v>9740100940</v>
      </c>
      <c r="L3">
        <v>1833788</v>
      </c>
      <c r="M3">
        <v>2255534</v>
      </c>
      <c r="N3">
        <v>276908.36</v>
      </c>
      <c r="O3" s="4">
        <v>311135.84000000003</v>
      </c>
      <c r="P3">
        <v>5820249</v>
      </c>
      <c r="Q3" s="2"/>
      <c r="R3">
        <v>568</v>
      </c>
      <c r="S3">
        <v>565</v>
      </c>
      <c r="T3">
        <v>277.32342171800002</v>
      </c>
      <c r="U3">
        <v>311.23571213700001</v>
      </c>
      <c r="V3">
        <v>273.19596000000001</v>
      </c>
      <c r="W3">
        <v>292.899113</v>
      </c>
      <c r="X3">
        <v>0.346638</v>
      </c>
      <c r="Y3">
        <v>0.36979099999999998</v>
      </c>
    </row>
    <row r="4" spans="1:25" x14ac:dyDescent="0.25">
      <c r="B4">
        <v>34493828</v>
      </c>
      <c r="C4">
        <v>75137534</v>
      </c>
      <c r="D4" s="2">
        <v>268815286344</v>
      </c>
      <c r="E4" s="2">
        <v>295333975328</v>
      </c>
      <c r="F4">
        <v>3380969480</v>
      </c>
      <c r="G4">
        <v>7841949334</v>
      </c>
      <c r="H4" s="2">
        <v>280057341890</v>
      </c>
      <c r="I4" s="2">
        <v>308155189074</v>
      </c>
      <c r="J4">
        <v>3908446208</v>
      </c>
      <c r="K4">
        <v>9623668826</v>
      </c>
      <c r="L4">
        <v>1926806</v>
      </c>
      <c r="M4">
        <v>2198998</v>
      </c>
      <c r="N4" s="3">
        <v>278019.58</v>
      </c>
      <c r="O4" s="4">
        <v>310400.19</v>
      </c>
      <c r="P4">
        <v>5841703</v>
      </c>
      <c r="Q4" s="2"/>
      <c r="R4">
        <v>569</v>
      </c>
      <c r="S4">
        <v>566</v>
      </c>
      <c r="T4">
        <v>278.10138700300001</v>
      </c>
      <c r="U4">
        <v>310.51809093000003</v>
      </c>
      <c r="V4">
        <v>272.93470500000001</v>
      </c>
      <c r="W4">
        <v>292.21245800000003</v>
      </c>
      <c r="X4">
        <v>1.6578409999999999</v>
      </c>
      <c r="Y4">
        <v>0.365008</v>
      </c>
    </row>
    <row r="5" spans="1:25" x14ac:dyDescent="0.25">
      <c r="B5">
        <v>33727744</v>
      </c>
      <c r="C5">
        <v>75888562</v>
      </c>
      <c r="D5" s="2">
        <v>267609130460</v>
      </c>
      <c r="E5" s="2">
        <v>296636928778</v>
      </c>
      <c r="F5">
        <v>3417879796</v>
      </c>
      <c r="G5">
        <v>8113883976</v>
      </c>
      <c r="H5" s="2">
        <v>279732186444</v>
      </c>
      <c r="I5" s="2">
        <v>309324814258</v>
      </c>
      <c r="J5">
        <v>3899382898</v>
      </c>
      <c r="K5">
        <v>9804189618</v>
      </c>
      <c r="L5">
        <v>1817026</v>
      </c>
      <c r="M5">
        <v>2105570</v>
      </c>
      <c r="N5" s="3">
        <v>277287.11</v>
      </c>
      <c r="O5" s="4">
        <v>311901.84999999998</v>
      </c>
      <c r="P5" s="2">
        <v>5821949</v>
      </c>
      <c r="Q5" s="2"/>
      <c r="R5">
        <v>568</v>
      </c>
      <c r="S5">
        <v>568</v>
      </c>
      <c r="T5">
        <v>277.34921505300002</v>
      </c>
      <c r="U5">
        <v>311.980839645</v>
      </c>
      <c r="V5">
        <v>272.26261199999999</v>
      </c>
      <c r="W5">
        <v>293.42564800000002</v>
      </c>
      <c r="X5">
        <v>1.5404450000000001</v>
      </c>
      <c r="Y5">
        <v>0.44216100000000003</v>
      </c>
    </row>
    <row r="6" spans="1:25" x14ac:dyDescent="0.25">
      <c r="B6">
        <v>33562568</v>
      </c>
      <c r="C6">
        <v>100797266</v>
      </c>
      <c r="D6" s="2">
        <v>268348299696</v>
      </c>
      <c r="E6" s="2">
        <v>295419760644</v>
      </c>
      <c r="F6">
        <v>3412149380</v>
      </c>
      <c r="G6">
        <v>7756716610</v>
      </c>
      <c r="H6" s="2">
        <v>278301923072</v>
      </c>
      <c r="I6" s="2">
        <v>306396584296</v>
      </c>
      <c r="J6">
        <v>3906758022</v>
      </c>
      <c r="K6">
        <v>9370716702</v>
      </c>
      <c r="L6">
        <v>1852480</v>
      </c>
      <c r="M6">
        <v>2434846</v>
      </c>
      <c r="N6" s="3">
        <v>276933.56</v>
      </c>
      <c r="O6" s="4">
        <v>309446.05</v>
      </c>
      <c r="P6" s="2">
        <v>5819208</v>
      </c>
      <c r="Q6" s="2"/>
      <c r="R6">
        <v>566</v>
      </c>
      <c r="S6">
        <v>566</v>
      </c>
      <c r="T6">
        <v>277.00320213399999</v>
      </c>
      <c r="U6">
        <v>309.52559833499998</v>
      </c>
      <c r="V6">
        <v>273.00944199999998</v>
      </c>
      <c r="W6">
        <v>291.35615000000001</v>
      </c>
      <c r="X6">
        <v>0.56958799999999998</v>
      </c>
      <c r="Y6">
        <v>0.336702</v>
      </c>
    </row>
    <row r="7" spans="1:25" x14ac:dyDescent="0.25">
      <c r="B7">
        <v>31888564</v>
      </c>
      <c r="C7">
        <v>74708742</v>
      </c>
      <c r="D7" s="2">
        <v>268958818996</v>
      </c>
      <c r="E7" s="2">
        <v>295159588132</v>
      </c>
      <c r="F7">
        <v>3411387098</v>
      </c>
      <c r="G7">
        <v>8053364954</v>
      </c>
      <c r="H7" s="2">
        <v>277742945448</v>
      </c>
      <c r="I7" s="2">
        <v>309076768628</v>
      </c>
      <c r="J7">
        <v>3902118852</v>
      </c>
      <c r="K7">
        <v>9651897088</v>
      </c>
      <c r="L7">
        <v>1909900</v>
      </c>
      <c r="M7">
        <v>2139244</v>
      </c>
      <c r="N7" s="3">
        <v>276964.23</v>
      </c>
      <c r="O7" s="4">
        <v>310931.96999999997</v>
      </c>
      <c r="P7" s="2">
        <v>5817832</v>
      </c>
      <c r="Q7" s="2"/>
      <c r="R7">
        <v>565</v>
      </c>
      <c r="S7">
        <v>566</v>
      </c>
      <c r="T7">
        <v>277.02636454100002</v>
      </c>
      <c r="U7">
        <v>311.01127448099999</v>
      </c>
      <c r="V7">
        <v>273.321257</v>
      </c>
      <c r="W7">
        <v>292.61296299999998</v>
      </c>
      <c r="X7">
        <v>0.17266799999999999</v>
      </c>
      <c r="Y7">
        <v>0.42979600000000001</v>
      </c>
    </row>
    <row r="8" spans="1:25" x14ac:dyDescent="0.25">
      <c r="B8">
        <v>33930628</v>
      </c>
      <c r="C8">
        <v>75577508</v>
      </c>
      <c r="D8" s="2">
        <v>268513992804</v>
      </c>
      <c r="E8" s="2">
        <v>296606710538</v>
      </c>
      <c r="F8">
        <v>3409444244</v>
      </c>
      <c r="G8">
        <v>8061695002</v>
      </c>
      <c r="H8" s="2">
        <v>278873407472</v>
      </c>
      <c r="I8" s="2">
        <v>308534401904</v>
      </c>
      <c r="J8">
        <v>3730247292</v>
      </c>
      <c r="K8">
        <v>9804992256</v>
      </c>
      <c r="L8">
        <v>1832756</v>
      </c>
      <c r="M8">
        <v>2342040</v>
      </c>
      <c r="N8" s="3">
        <v>277221.21000000002</v>
      </c>
      <c r="O8" s="4">
        <v>311458.23</v>
      </c>
      <c r="P8" s="2">
        <v>5825078</v>
      </c>
      <c r="Q8" s="2"/>
      <c r="R8">
        <v>567</v>
      </c>
      <c r="S8">
        <v>567</v>
      </c>
      <c r="T8">
        <v>277.2840362</v>
      </c>
      <c r="U8">
        <v>311.54486531200001</v>
      </c>
      <c r="V8">
        <v>273.00670400000001</v>
      </c>
      <c r="W8">
        <v>292.69951200000003</v>
      </c>
      <c r="X8">
        <v>0.86786600000000003</v>
      </c>
      <c r="Y8">
        <v>0.55604200000000004</v>
      </c>
    </row>
    <row r="9" spans="1:25" x14ac:dyDescent="0.25">
      <c r="B9">
        <v>33975556</v>
      </c>
      <c r="D9" s="2">
        <v>268534177806</v>
      </c>
      <c r="E9" s="2"/>
      <c r="F9">
        <v>3412654030</v>
      </c>
      <c r="H9" s="2">
        <v>279293803424</v>
      </c>
      <c r="I9" s="2"/>
      <c r="J9">
        <v>3891731330</v>
      </c>
      <c r="L9">
        <v>1978382</v>
      </c>
      <c r="N9" s="3">
        <v>277524.43</v>
      </c>
      <c r="O9" s="3"/>
      <c r="P9" s="2">
        <v>5829880</v>
      </c>
      <c r="Q9" s="2"/>
      <c r="R9">
        <v>568</v>
      </c>
      <c r="S9">
        <v>567</v>
      </c>
      <c r="T9">
        <v>277.58770849799998</v>
      </c>
      <c r="V9">
        <v>273.40223800000001</v>
      </c>
      <c r="X9">
        <v>0.68689599999999995</v>
      </c>
    </row>
    <row r="10" spans="1:25" x14ac:dyDescent="0.25">
      <c r="B10">
        <v>31756780</v>
      </c>
      <c r="D10" s="2">
        <v>268335832742</v>
      </c>
      <c r="E10" s="2"/>
      <c r="F10">
        <v>3410796304</v>
      </c>
      <c r="H10" s="2">
        <v>278182177676</v>
      </c>
      <c r="I10" s="2"/>
      <c r="J10">
        <v>3902963354</v>
      </c>
      <c r="L10">
        <v>1901884</v>
      </c>
      <c r="N10" s="3">
        <v>276878.46999999997</v>
      </c>
      <c r="O10" s="3"/>
      <c r="P10" s="2">
        <v>5818448</v>
      </c>
      <c r="Q10" s="2"/>
      <c r="R10">
        <v>567</v>
      </c>
      <c r="S10">
        <v>565</v>
      </c>
      <c r="T10">
        <v>276.93509843200002</v>
      </c>
      <c r="V10">
        <v>273.15907800000002</v>
      </c>
      <c r="X10">
        <v>0.24964900000000001</v>
      </c>
    </row>
    <row r="11" spans="1:25" x14ac:dyDescent="0.25">
      <c r="B11">
        <v>33721302</v>
      </c>
      <c r="D11" s="2">
        <v>268478626978</v>
      </c>
      <c r="E11" s="2"/>
      <c r="F11">
        <v>3410455170</v>
      </c>
      <c r="H11" s="2">
        <v>280285403728</v>
      </c>
      <c r="I11" s="2"/>
      <c r="J11">
        <v>3769754900</v>
      </c>
      <c r="L11">
        <v>1956866</v>
      </c>
      <c r="N11" s="3">
        <v>277936.7</v>
      </c>
      <c r="O11" s="3"/>
      <c r="P11" s="2">
        <v>5836426</v>
      </c>
      <c r="Q11" s="2"/>
      <c r="R11">
        <v>567</v>
      </c>
      <c r="T11">
        <v>277.99184069900002</v>
      </c>
      <c r="V11">
        <v>272.94601899999998</v>
      </c>
      <c r="X11">
        <v>1.559706</v>
      </c>
    </row>
    <row r="12" spans="1:25" x14ac:dyDescent="0.25">
      <c r="B12">
        <v>33235086</v>
      </c>
      <c r="D12" s="2">
        <v>267599849544</v>
      </c>
      <c r="E12" s="2"/>
      <c r="F12">
        <v>3413250506</v>
      </c>
      <c r="H12" s="2">
        <v>279131788122</v>
      </c>
      <c r="I12" s="2"/>
      <c r="J12">
        <v>3734501566</v>
      </c>
      <c r="L12">
        <v>1916712</v>
      </c>
      <c r="N12" s="3">
        <v>276897.17</v>
      </c>
      <c r="O12" s="3"/>
      <c r="P12" s="2">
        <v>5816397</v>
      </c>
      <c r="Q12" s="2"/>
      <c r="R12">
        <v>567</v>
      </c>
      <c r="T12">
        <v>276.95921332099999</v>
      </c>
      <c r="V12">
        <v>272.38271400000002</v>
      </c>
      <c r="X12">
        <v>1.115523</v>
      </c>
    </row>
    <row r="13" spans="1:25" x14ac:dyDescent="0.25">
      <c r="B13" s="3">
        <f>AVERAGE(B3:B12)</f>
        <v>33456049.600000001</v>
      </c>
      <c r="C13" s="3">
        <f>AVERAGE(C3:C12)</f>
        <v>83920399</v>
      </c>
      <c r="D13" s="3">
        <f t="shared" ref="D13:X13" si="0">AVERAGE(D3:D12)</f>
        <v>268466432640.20001</v>
      </c>
      <c r="E13" s="3">
        <f>AVERAGE(E3:E12)</f>
        <v>296044781516.66669</v>
      </c>
      <c r="F13" s="3">
        <f t="shared" si="0"/>
        <v>3408880163.8000002</v>
      </c>
      <c r="G13" s="3">
        <f>AVERAGE(G3:G12)</f>
        <v>7960186503</v>
      </c>
      <c r="H13" s="3">
        <f t="shared" si="0"/>
        <v>278954282254.79999</v>
      </c>
      <c r="I13" s="3">
        <f>AVERAGE(I3:I12)</f>
        <v>308177673067</v>
      </c>
      <c r="J13" s="3">
        <f t="shared" si="0"/>
        <v>3843125227.8000002</v>
      </c>
      <c r="K13" s="3">
        <f>AVERAGE(K3:K12)</f>
        <v>9665927571.666666</v>
      </c>
      <c r="L13" s="3">
        <f t="shared" si="0"/>
        <v>1892660</v>
      </c>
      <c r="M13" s="3">
        <f>AVERAGE(M3:M12)</f>
        <v>2246038.6666666665</v>
      </c>
      <c r="N13" s="3">
        <f t="shared" si="0"/>
        <v>277257.08199999999</v>
      </c>
      <c r="O13" s="3">
        <f>AVERAGE(O3:O12)</f>
        <v>310879.02166666667</v>
      </c>
      <c r="P13" s="3">
        <f t="shared" si="0"/>
        <v>5824717</v>
      </c>
      <c r="Q13" s="3" t="e">
        <f t="shared" si="0"/>
        <v>#DIV/0!</v>
      </c>
      <c r="R13">
        <f t="shared" si="0"/>
        <v>567.20000000000005</v>
      </c>
      <c r="S13">
        <f t="shared" si="0"/>
        <v>566.25</v>
      </c>
      <c r="T13">
        <f t="shared" si="0"/>
        <v>277.35614875990001</v>
      </c>
      <c r="U13">
        <f>AVERAGE(U3:U12)</f>
        <v>310.96939680666668</v>
      </c>
      <c r="V13">
        <f t="shared" si="0"/>
        <v>272.96207290000001</v>
      </c>
      <c r="W13">
        <f>AVERAGE(W3:W12)</f>
        <v>292.53430733333335</v>
      </c>
      <c r="X13">
        <f t="shared" si="0"/>
        <v>0.87668199999999996</v>
      </c>
      <c r="Y13">
        <f>AVERAGE(Y3:Y12)</f>
        <v>0.41658333333333336</v>
      </c>
    </row>
    <row r="14" spans="1:25" x14ac:dyDescent="0.25">
      <c r="C14">
        <f>100*C13/B13</f>
        <v>250.83774086705083</v>
      </c>
      <c r="D14" s="2"/>
      <c r="E14">
        <f>100*E13/D13</f>
        <v>110.27255013047657</v>
      </c>
      <c r="G14">
        <f>100*G13/F13</f>
        <v>233.51323955390959</v>
      </c>
      <c r="H14" s="2"/>
      <c r="I14">
        <f>100*I13/H13</f>
        <v>110.47605026027421</v>
      </c>
      <c r="K14">
        <f>100*K13/J13</f>
        <v>251.51216779891229</v>
      </c>
      <c r="M14">
        <f>100*M13/L13</f>
        <v>118.67100623813398</v>
      </c>
      <c r="N14" s="3"/>
      <c r="O14">
        <f>100*O13/N13</f>
        <v>112.12662970559096</v>
      </c>
      <c r="P14" s="2"/>
      <c r="Q14" t="e">
        <f>100*Q13/P13</f>
        <v>#DIV/0!</v>
      </c>
      <c r="S14">
        <f>100*S13/R13</f>
        <v>99.832510578279255</v>
      </c>
      <c r="U14">
        <f>100*U13/T13</f>
        <v>112.11916454603816</v>
      </c>
      <c r="W14">
        <f>100*W13/V13</f>
        <v>107.17031279305372</v>
      </c>
      <c r="Y14">
        <f>100*Y13/X13</f>
        <v>47.518180290382759</v>
      </c>
    </row>
    <row r="15" spans="1:25" x14ac:dyDescent="0.25">
      <c r="D15" s="2"/>
      <c r="H15" s="2"/>
      <c r="I15">
        <f>AVERAGE(I14,K14)</f>
        <v>180.99410902959323</v>
      </c>
      <c r="N15" s="3"/>
      <c r="P15" s="2"/>
    </row>
    <row r="16" spans="1:25" x14ac:dyDescent="0.25">
      <c r="A16" t="s">
        <v>107</v>
      </c>
      <c r="B16" t="s">
        <v>81</v>
      </c>
      <c r="C16" t="s">
        <v>82</v>
      </c>
      <c r="D16" t="s">
        <v>81</v>
      </c>
      <c r="E16" t="s">
        <v>82</v>
      </c>
      <c r="F16" t="s">
        <v>81</v>
      </c>
      <c r="G16" t="s">
        <v>82</v>
      </c>
      <c r="H16" t="s">
        <v>81</v>
      </c>
      <c r="I16" t="s">
        <v>82</v>
      </c>
      <c r="J16" t="s">
        <v>81</v>
      </c>
      <c r="K16" t="s">
        <v>82</v>
      </c>
      <c r="L16" t="s">
        <v>81</v>
      </c>
      <c r="M16" t="s">
        <v>82</v>
      </c>
      <c r="N16" t="s">
        <v>81</v>
      </c>
      <c r="O16" t="s">
        <v>82</v>
      </c>
      <c r="P16" t="s">
        <v>81</v>
      </c>
      <c r="Q16" t="s">
        <v>82</v>
      </c>
      <c r="R16" t="s">
        <v>81</v>
      </c>
      <c r="S16" t="s">
        <v>82</v>
      </c>
      <c r="T16" t="s">
        <v>81</v>
      </c>
      <c r="U16" t="s">
        <v>82</v>
      </c>
      <c r="V16" t="s">
        <v>81</v>
      </c>
      <c r="W16" t="s">
        <v>82</v>
      </c>
      <c r="X16" t="s">
        <v>81</v>
      </c>
      <c r="Y16" t="s">
        <v>82</v>
      </c>
    </row>
    <row r="17" spans="1:25" x14ac:dyDescent="0.25">
      <c r="B17" t="s">
        <v>112</v>
      </c>
      <c r="C17" t="s">
        <v>112</v>
      </c>
      <c r="D17" t="s">
        <v>104</v>
      </c>
      <c r="E17" t="s">
        <v>104</v>
      </c>
      <c r="F17" t="s">
        <v>105</v>
      </c>
      <c r="G17" t="s">
        <v>105</v>
      </c>
      <c r="H17" t="s">
        <v>93</v>
      </c>
      <c r="I17" t="s">
        <v>93</v>
      </c>
      <c r="J17" t="s">
        <v>106</v>
      </c>
      <c r="K17" t="s">
        <v>106</v>
      </c>
      <c r="L17" t="s">
        <v>84</v>
      </c>
      <c r="M17" t="s">
        <v>84</v>
      </c>
      <c r="N17" t="s">
        <v>85</v>
      </c>
      <c r="O17" t="s">
        <v>85</v>
      </c>
      <c r="P17" t="s">
        <v>86</v>
      </c>
      <c r="Q17" t="s">
        <v>86</v>
      </c>
      <c r="R17" t="s">
        <v>87</v>
      </c>
      <c r="S17" t="s">
        <v>87</v>
      </c>
      <c r="T17" t="s">
        <v>88</v>
      </c>
      <c r="U17" t="s">
        <v>88</v>
      </c>
      <c r="V17" t="s">
        <v>4</v>
      </c>
      <c r="W17" t="s">
        <v>4</v>
      </c>
      <c r="X17" t="s">
        <v>6</v>
      </c>
      <c r="Y17" t="s">
        <v>6</v>
      </c>
    </row>
    <row r="18" spans="1:25" x14ac:dyDescent="0.25">
      <c r="B18">
        <v>8059628</v>
      </c>
      <c r="D18">
        <v>1351538724</v>
      </c>
      <c r="E18">
        <v>2186436282</v>
      </c>
      <c r="F18">
        <v>865859818</v>
      </c>
      <c r="G18">
        <v>873364404</v>
      </c>
      <c r="H18">
        <v>3007899898</v>
      </c>
      <c r="I18">
        <v>3584877830</v>
      </c>
      <c r="J18">
        <v>1766438080</v>
      </c>
      <c r="K18">
        <v>1750734512</v>
      </c>
      <c r="L18">
        <v>1473126</v>
      </c>
      <c r="M18">
        <v>1983086</v>
      </c>
      <c r="N18" s="4">
        <v>5692.68</v>
      </c>
      <c r="O18" s="4">
        <v>7241.15</v>
      </c>
      <c r="P18" s="2"/>
      <c r="T18">
        <v>3.503879521</v>
      </c>
      <c r="U18">
        <v>4.218674343</v>
      </c>
      <c r="V18">
        <v>5.4306989999999997</v>
      </c>
      <c r="W18">
        <v>6.5047290000000002</v>
      </c>
      <c r="X18">
        <v>0.219279</v>
      </c>
      <c r="Y18">
        <v>0.46846599999999999</v>
      </c>
    </row>
    <row r="19" spans="1:25" x14ac:dyDescent="0.25">
      <c r="B19">
        <v>7394898</v>
      </c>
      <c r="C19">
        <v>9162726</v>
      </c>
      <c r="D19">
        <v>1306939702</v>
      </c>
      <c r="E19">
        <v>2332580906</v>
      </c>
      <c r="F19">
        <v>883889822</v>
      </c>
      <c r="G19">
        <v>896416882</v>
      </c>
      <c r="H19">
        <v>2730815570</v>
      </c>
      <c r="I19">
        <v>2540780472</v>
      </c>
      <c r="J19">
        <v>1687988820</v>
      </c>
      <c r="K19">
        <v>1879410828</v>
      </c>
      <c r="L19">
        <v>1758556</v>
      </c>
      <c r="M19">
        <v>1586584</v>
      </c>
      <c r="N19" s="4">
        <v>5353.06</v>
      </c>
      <c r="O19" s="4">
        <v>6407.75</v>
      </c>
      <c r="P19" s="2"/>
      <c r="T19">
        <v>3.3116949230000001</v>
      </c>
      <c r="U19">
        <v>3.832074896</v>
      </c>
      <c r="V19">
        <v>5.1260289999999999</v>
      </c>
      <c r="W19">
        <v>5.7489420000000004</v>
      </c>
      <c r="X19">
        <v>0.176986</v>
      </c>
      <c r="Y19">
        <v>0.41373599999999999</v>
      </c>
    </row>
    <row r="20" spans="1:25" x14ac:dyDescent="0.25">
      <c r="B20">
        <v>7020284</v>
      </c>
      <c r="D20">
        <v>1516202188</v>
      </c>
      <c r="E20">
        <v>2023599996</v>
      </c>
      <c r="F20">
        <v>885432162</v>
      </c>
      <c r="G20">
        <v>943529086</v>
      </c>
      <c r="H20">
        <v>2628355140</v>
      </c>
      <c r="I20">
        <v>2640876556</v>
      </c>
      <c r="J20">
        <v>1767148998</v>
      </c>
      <c r="K20">
        <v>1853162438</v>
      </c>
      <c r="L20">
        <v>2776116</v>
      </c>
      <c r="M20">
        <v>1323146</v>
      </c>
      <c r="N20" s="4">
        <v>5510.34</v>
      </c>
      <c r="O20" s="4">
        <v>6235.6</v>
      </c>
      <c r="P20" s="2"/>
      <c r="T20">
        <v>3.407451762</v>
      </c>
      <c r="U20">
        <v>3.7508374949999999</v>
      </c>
      <c r="V20">
        <v>5.2694159999999997</v>
      </c>
      <c r="W20">
        <v>5.6232139999999999</v>
      </c>
      <c r="X20">
        <v>0.19661000000000001</v>
      </c>
      <c r="Y20">
        <v>0.42402600000000001</v>
      </c>
    </row>
    <row r="21" spans="1:25" x14ac:dyDescent="0.25">
      <c r="B21">
        <v>9634668</v>
      </c>
      <c r="C21">
        <v>7958970</v>
      </c>
      <c r="D21">
        <v>1398627068</v>
      </c>
      <c r="E21">
        <v>2132909652</v>
      </c>
      <c r="F21">
        <v>859782994</v>
      </c>
      <c r="G21">
        <v>910448182</v>
      </c>
      <c r="H21">
        <v>2685731930</v>
      </c>
      <c r="I21">
        <v>2650620658</v>
      </c>
      <c r="J21">
        <v>1807685918</v>
      </c>
      <c r="K21">
        <v>1846752328</v>
      </c>
      <c r="L21">
        <v>3182968</v>
      </c>
      <c r="M21">
        <v>1494594</v>
      </c>
      <c r="N21" s="4">
        <v>5475.5</v>
      </c>
      <c r="O21" s="4">
        <v>6315.01</v>
      </c>
      <c r="P21" s="2"/>
      <c r="T21">
        <v>3.3855480029999998</v>
      </c>
      <c r="U21">
        <v>3.7773626349999998</v>
      </c>
      <c r="V21">
        <v>5.2177319999999998</v>
      </c>
      <c r="W21">
        <v>5.6719629999999999</v>
      </c>
      <c r="X21">
        <v>0.21548300000000001</v>
      </c>
      <c r="Y21">
        <v>0.45127299999999998</v>
      </c>
    </row>
    <row r="22" spans="1:25" x14ac:dyDescent="0.25">
      <c r="B22">
        <v>8385906</v>
      </c>
      <c r="C22">
        <v>7839198</v>
      </c>
      <c r="D22">
        <v>1707025090</v>
      </c>
      <c r="E22">
        <v>2155631258</v>
      </c>
      <c r="F22">
        <v>877970984</v>
      </c>
      <c r="G22">
        <v>967212608</v>
      </c>
      <c r="H22">
        <v>2741205250</v>
      </c>
      <c r="I22">
        <v>3468969726</v>
      </c>
      <c r="J22">
        <v>1728961292</v>
      </c>
      <c r="K22">
        <v>1888627818</v>
      </c>
      <c r="L22">
        <v>1626874</v>
      </c>
      <c r="M22">
        <v>1933292</v>
      </c>
      <c r="N22" s="4">
        <v>5772.78</v>
      </c>
      <c r="O22" s="4">
        <v>7214.85</v>
      </c>
      <c r="P22" s="2"/>
      <c r="T22">
        <v>3.5350068399999999</v>
      </c>
      <c r="U22">
        <v>4.2471687039999999</v>
      </c>
      <c r="V22">
        <v>5.4788269999999999</v>
      </c>
      <c r="W22">
        <v>6.479222</v>
      </c>
      <c r="X22">
        <v>0.24720400000000001</v>
      </c>
      <c r="Y22">
        <v>0.48902499999999999</v>
      </c>
    </row>
    <row r="23" spans="1:25" x14ac:dyDescent="0.25">
      <c r="B23">
        <v>8050546</v>
      </c>
      <c r="C23">
        <v>7662498</v>
      </c>
      <c r="D23">
        <v>1690121994</v>
      </c>
      <c r="E23">
        <v>2113513234</v>
      </c>
      <c r="F23">
        <v>889281772</v>
      </c>
      <c r="G23">
        <v>944699690</v>
      </c>
      <c r="H23">
        <v>2158030250</v>
      </c>
      <c r="I23">
        <v>2348881104</v>
      </c>
      <c r="J23">
        <v>1797174312</v>
      </c>
      <c r="K23">
        <v>1810615958</v>
      </c>
      <c r="L23">
        <v>1308722</v>
      </c>
      <c r="M23">
        <v>1663110</v>
      </c>
      <c r="N23" s="4">
        <v>5219.6499999999996</v>
      </c>
      <c r="O23" s="4">
        <v>5995.46</v>
      </c>
      <c r="T23">
        <v>3.274428613</v>
      </c>
      <c r="U23">
        <v>3.6154836979999998</v>
      </c>
      <c r="V23">
        <v>4.9438469999999999</v>
      </c>
      <c r="W23">
        <v>5.4465380000000003</v>
      </c>
      <c r="X23">
        <v>0.234649</v>
      </c>
      <c r="Y23">
        <v>0.38509700000000002</v>
      </c>
    </row>
    <row r="24" spans="1:25" x14ac:dyDescent="0.25">
      <c r="B24">
        <v>7167504</v>
      </c>
      <c r="C24">
        <v>8818752</v>
      </c>
      <c r="D24">
        <v>1653667806</v>
      </c>
      <c r="E24">
        <v>2120527910</v>
      </c>
      <c r="F24">
        <v>921230284</v>
      </c>
      <c r="G24">
        <v>913958524</v>
      </c>
      <c r="H24">
        <v>2608625278</v>
      </c>
      <c r="I24">
        <v>2707493554</v>
      </c>
      <c r="J24">
        <v>1770938432</v>
      </c>
      <c r="K24">
        <v>1825035514</v>
      </c>
      <c r="L24">
        <v>1252642</v>
      </c>
      <c r="M24">
        <v>2485964</v>
      </c>
      <c r="N24" s="4">
        <v>5638.37</v>
      </c>
      <c r="O24" s="4">
        <v>6351.24</v>
      </c>
      <c r="T24">
        <v>3.4842487000000002</v>
      </c>
      <c r="U24">
        <v>3.7915616989999998</v>
      </c>
      <c r="V24">
        <v>5.3517140000000003</v>
      </c>
      <c r="W24">
        <v>5.6996229999999999</v>
      </c>
      <c r="X24">
        <v>0.230992</v>
      </c>
      <c r="Y24">
        <v>0.41644199999999998</v>
      </c>
    </row>
    <row r="25" spans="1:25" x14ac:dyDescent="0.25">
      <c r="B25">
        <v>7079468</v>
      </c>
      <c r="D25">
        <v>1706744296</v>
      </c>
      <c r="E25">
        <v>2709057614</v>
      </c>
      <c r="F25">
        <v>932567966</v>
      </c>
      <c r="G25">
        <v>951650460</v>
      </c>
      <c r="H25">
        <v>2596145124</v>
      </c>
      <c r="I25">
        <v>3087242080</v>
      </c>
      <c r="J25">
        <v>1802415650</v>
      </c>
      <c r="K25">
        <v>1855929170</v>
      </c>
      <c r="L25">
        <v>2400144</v>
      </c>
      <c r="M25">
        <v>1865626</v>
      </c>
      <c r="N25" s="4">
        <v>5721.31</v>
      </c>
      <c r="O25" s="4">
        <v>7366.82</v>
      </c>
      <c r="T25">
        <v>3.526132043</v>
      </c>
      <c r="U25">
        <v>4.3220138329999997</v>
      </c>
      <c r="V25">
        <v>5.4115279999999997</v>
      </c>
      <c r="W25">
        <v>6.5538439999999998</v>
      </c>
      <c r="X25">
        <v>0.269042</v>
      </c>
      <c r="Y25">
        <v>0.53079200000000004</v>
      </c>
    </row>
    <row r="26" spans="1:25" x14ac:dyDescent="0.25">
      <c r="B26">
        <v>7038948</v>
      </c>
      <c r="C26">
        <v>8655354</v>
      </c>
      <c r="D26">
        <v>1595372012</v>
      </c>
      <c r="E26">
        <v>2334068656</v>
      </c>
      <c r="F26">
        <v>899926412</v>
      </c>
      <c r="G26">
        <v>972735482</v>
      </c>
      <c r="H26">
        <v>2193516888</v>
      </c>
      <c r="I26">
        <v>3571479538</v>
      </c>
      <c r="J26">
        <v>1793005546</v>
      </c>
      <c r="K26">
        <v>1808428722</v>
      </c>
      <c r="L26">
        <v>1209652</v>
      </c>
      <c r="M26">
        <v>3821852</v>
      </c>
      <c r="N26" s="4">
        <v>5190.0600000000004</v>
      </c>
      <c r="O26" s="4">
        <v>7449.03</v>
      </c>
      <c r="T26">
        <v>3.2471870219999999</v>
      </c>
      <c r="U26">
        <v>4.3522330650000001</v>
      </c>
      <c r="V26">
        <v>4.926666</v>
      </c>
      <c r="W26">
        <v>6.6359820000000003</v>
      </c>
      <c r="X26">
        <v>0.22486500000000001</v>
      </c>
      <c r="Y26">
        <v>0.52852200000000005</v>
      </c>
    </row>
    <row r="27" spans="1:25" x14ac:dyDescent="0.25">
      <c r="B27">
        <v>7696764</v>
      </c>
      <c r="C27">
        <v>9376184</v>
      </c>
      <c r="D27">
        <v>2096416302</v>
      </c>
      <c r="E27">
        <v>2294457398</v>
      </c>
      <c r="F27">
        <v>901089780</v>
      </c>
      <c r="G27">
        <v>915000380</v>
      </c>
      <c r="H27">
        <v>2037976126</v>
      </c>
      <c r="I27">
        <v>2651082502</v>
      </c>
      <c r="J27">
        <v>1795773776</v>
      </c>
      <c r="K27">
        <v>1791467386</v>
      </c>
      <c r="L27">
        <v>1949572</v>
      </c>
      <c r="M27">
        <v>1975852</v>
      </c>
      <c r="N27" s="4">
        <v>5530.76</v>
      </c>
      <c r="O27" s="4">
        <v>6414.67</v>
      </c>
      <c r="T27">
        <v>3.423149145</v>
      </c>
      <c r="U27">
        <v>3.8336896660000002</v>
      </c>
      <c r="V27">
        <v>5.256939</v>
      </c>
      <c r="W27">
        <v>5.7701880000000001</v>
      </c>
      <c r="X27">
        <v>0.22148499999999999</v>
      </c>
      <c r="Y27">
        <v>0.440189</v>
      </c>
    </row>
    <row r="28" spans="1:25" x14ac:dyDescent="0.25">
      <c r="B28">
        <f>AVERAGE(B18:B27)</f>
        <v>7752861.4000000004</v>
      </c>
      <c r="C28">
        <f t="shared" ref="C28:Y28" si="1">AVERAGE(C18:C27)</f>
        <v>8496240.2857142854</v>
      </c>
      <c r="D28">
        <f t="shared" si="1"/>
        <v>1602265518.2</v>
      </c>
      <c r="E28">
        <f t="shared" si="1"/>
        <v>2240278290.5999999</v>
      </c>
      <c r="F28">
        <f t="shared" si="1"/>
        <v>891703199.39999998</v>
      </c>
      <c r="G28">
        <f t="shared" si="1"/>
        <v>928901569.79999995</v>
      </c>
      <c r="H28">
        <f t="shared" si="1"/>
        <v>2538830145.4000001</v>
      </c>
      <c r="I28">
        <f t="shared" si="1"/>
        <v>2925230402</v>
      </c>
      <c r="J28">
        <f t="shared" si="1"/>
        <v>1771753082.4000001</v>
      </c>
      <c r="K28">
        <f t="shared" si="1"/>
        <v>1831016467.4000001</v>
      </c>
      <c r="L28">
        <f t="shared" si="1"/>
        <v>1893837.2</v>
      </c>
      <c r="M28">
        <f t="shared" si="1"/>
        <v>2013310.6</v>
      </c>
      <c r="N28">
        <f t="shared" si="1"/>
        <v>5510.451</v>
      </c>
      <c r="O28">
        <f t="shared" si="1"/>
        <v>6699.1580000000004</v>
      </c>
      <c r="P28" t="e">
        <f t="shared" si="1"/>
        <v>#DIV/0!</v>
      </c>
      <c r="Q28" t="e">
        <f t="shared" si="1"/>
        <v>#DIV/0!</v>
      </c>
      <c r="R28" t="e">
        <f t="shared" si="1"/>
        <v>#DIV/0!</v>
      </c>
      <c r="S28" t="e">
        <f t="shared" si="1"/>
        <v>#DIV/0!</v>
      </c>
      <c r="T28">
        <f t="shared" si="1"/>
        <v>3.4098726572000002</v>
      </c>
      <c r="U28">
        <f t="shared" si="1"/>
        <v>3.9741100033999999</v>
      </c>
      <c r="V28">
        <f t="shared" si="1"/>
        <v>5.2413396999999993</v>
      </c>
      <c r="W28">
        <f t="shared" si="1"/>
        <v>6.0134245000000002</v>
      </c>
      <c r="X28">
        <f t="shared" si="1"/>
        <v>0.22365950000000004</v>
      </c>
      <c r="Y28">
        <f t="shared" si="1"/>
        <v>0.45475680000000002</v>
      </c>
    </row>
    <row r="29" spans="1:25" x14ac:dyDescent="0.25">
      <c r="C29">
        <f>100*C28/B28</f>
        <v>109.58844544433988</v>
      </c>
      <c r="E29">
        <f>100*E28/D28</f>
        <v>139.81941601768659</v>
      </c>
      <c r="G29">
        <f>100*G28/F28</f>
        <v>104.17160894174538</v>
      </c>
      <c r="I29">
        <f>100*I28/H28</f>
        <v>115.21961826789013</v>
      </c>
      <c r="K29">
        <f>100*K28/J28</f>
        <v>103.34490091134609</v>
      </c>
      <c r="M29">
        <f>100*M28/L28</f>
        <v>106.3085359185045</v>
      </c>
      <c r="O29">
        <f>100*O28/N28</f>
        <v>121.57186408154251</v>
      </c>
      <c r="Q29" t="e">
        <f>100*Q28/P28</f>
        <v>#DIV/0!</v>
      </c>
      <c r="S29" t="e">
        <f>100*S28/R28</f>
        <v>#DIV/0!</v>
      </c>
      <c r="U29">
        <f>100*U28/T28</f>
        <v>116.54716767820064</v>
      </c>
      <c r="W29">
        <f>100*W28/V28</f>
        <v>114.73067658636971</v>
      </c>
      <c r="Y29">
        <f>100*Y28/X28</f>
        <v>203.32550148775258</v>
      </c>
    </row>
    <row r="30" spans="1:25" x14ac:dyDescent="0.25">
      <c r="I30">
        <f>AVERAGE(I29,K29)</f>
        <v>109.28225958961811</v>
      </c>
    </row>
    <row r="31" spans="1:25" x14ac:dyDescent="0.25">
      <c r="A31" t="s">
        <v>116</v>
      </c>
      <c r="B31" t="s">
        <v>117</v>
      </c>
      <c r="C31">
        <v>97184822</v>
      </c>
      <c r="F31">
        <v>1</v>
      </c>
      <c r="G31" t="s">
        <v>126</v>
      </c>
      <c r="H31" t="s">
        <v>125</v>
      </c>
    </row>
    <row r="32" spans="1:25" x14ac:dyDescent="0.25">
      <c r="A32" t="s">
        <v>116</v>
      </c>
      <c r="B32" t="s">
        <v>117</v>
      </c>
      <c r="C32">
        <v>76446814</v>
      </c>
      <c r="E32" t="s">
        <v>119</v>
      </c>
      <c r="F32">
        <v>1115</v>
      </c>
      <c r="G32" t="s">
        <v>127</v>
      </c>
    </row>
    <row r="33" spans="1:25" x14ac:dyDescent="0.25">
      <c r="A33" t="s">
        <v>116</v>
      </c>
      <c r="B33" t="s">
        <v>117</v>
      </c>
      <c r="C33">
        <v>75983984</v>
      </c>
    </row>
    <row r="34" spans="1:25" x14ac:dyDescent="0.25">
      <c r="A34" t="s">
        <v>116</v>
      </c>
      <c r="B34" t="s">
        <v>117</v>
      </c>
      <c r="C34">
        <v>100970186</v>
      </c>
    </row>
    <row r="35" spans="1:25" x14ac:dyDescent="0.25">
      <c r="A35" t="s">
        <v>116</v>
      </c>
      <c r="B35" t="s">
        <v>117</v>
      </c>
      <c r="C35">
        <v>74767744</v>
      </c>
    </row>
    <row r="36" spans="1:25" x14ac:dyDescent="0.25">
      <c r="A36" t="s">
        <v>116</v>
      </c>
      <c r="B36" t="s">
        <v>117</v>
      </c>
      <c r="C36">
        <v>75538324</v>
      </c>
    </row>
    <row r="37" spans="1:25" x14ac:dyDescent="0.25">
      <c r="A37" t="s">
        <v>116</v>
      </c>
      <c r="B37" t="s">
        <v>117</v>
      </c>
      <c r="C37">
        <v>76221278</v>
      </c>
    </row>
    <row r="38" spans="1:25" x14ac:dyDescent="0.25">
      <c r="C38">
        <f>AVERAGE(C31:C37)</f>
        <v>82444736</v>
      </c>
    </row>
    <row r="39" spans="1:25" x14ac:dyDescent="0.25">
      <c r="C39">
        <f>100*C38/B13</f>
        <v>246.42698999346294</v>
      </c>
    </row>
    <row r="40" spans="1:25" x14ac:dyDescent="0.25">
      <c r="B40" s="4"/>
    </row>
    <row r="41" spans="1:25" x14ac:dyDescent="0.25">
      <c r="B41" s="4"/>
    </row>
    <row r="42" spans="1:25" x14ac:dyDescent="0.25">
      <c r="A42" t="s">
        <v>128</v>
      </c>
      <c r="B42" t="s">
        <v>81</v>
      </c>
      <c r="C42" t="s">
        <v>82</v>
      </c>
      <c r="D42" t="s">
        <v>81</v>
      </c>
      <c r="E42" t="s">
        <v>82</v>
      </c>
      <c r="F42" t="s">
        <v>81</v>
      </c>
      <c r="G42" t="s">
        <v>82</v>
      </c>
      <c r="H42" t="s">
        <v>81</v>
      </c>
      <c r="I42" t="s">
        <v>82</v>
      </c>
      <c r="J42" t="s">
        <v>81</v>
      </c>
      <c r="K42" t="s">
        <v>82</v>
      </c>
      <c r="L42" t="s">
        <v>81</v>
      </c>
      <c r="M42" t="s">
        <v>82</v>
      </c>
      <c r="N42" t="s">
        <v>81</v>
      </c>
      <c r="O42" t="s">
        <v>82</v>
      </c>
      <c r="P42" t="s">
        <v>81</v>
      </c>
      <c r="Q42" t="s">
        <v>82</v>
      </c>
      <c r="R42" t="s">
        <v>81</v>
      </c>
      <c r="S42" t="s">
        <v>82</v>
      </c>
      <c r="T42" t="s">
        <v>81</v>
      </c>
      <c r="U42" t="s">
        <v>82</v>
      </c>
      <c r="V42" t="s">
        <v>81</v>
      </c>
      <c r="W42" t="s">
        <v>82</v>
      </c>
      <c r="X42" t="s">
        <v>81</v>
      </c>
      <c r="Y42" t="s">
        <v>82</v>
      </c>
    </row>
    <row r="43" spans="1:25" x14ac:dyDescent="0.25">
      <c r="B43" t="s">
        <v>112</v>
      </c>
      <c r="C43" t="s">
        <v>112</v>
      </c>
      <c r="D43" t="s">
        <v>104</v>
      </c>
      <c r="E43" t="s">
        <v>104</v>
      </c>
      <c r="F43" t="s">
        <v>105</v>
      </c>
      <c r="G43" t="s">
        <v>105</v>
      </c>
      <c r="H43" t="s">
        <v>93</v>
      </c>
      <c r="I43" t="s">
        <v>93</v>
      </c>
      <c r="J43" t="s">
        <v>106</v>
      </c>
      <c r="K43" t="s">
        <v>106</v>
      </c>
      <c r="L43" t="s">
        <v>84</v>
      </c>
      <c r="M43" t="s">
        <v>84</v>
      </c>
      <c r="N43" t="s">
        <v>85</v>
      </c>
      <c r="O43" t="s">
        <v>85</v>
      </c>
      <c r="P43" t="s">
        <v>86</v>
      </c>
      <c r="Q43" t="s">
        <v>86</v>
      </c>
      <c r="R43" t="s">
        <v>87</v>
      </c>
      <c r="S43" t="s">
        <v>87</v>
      </c>
      <c r="T43" t="s">
        <v>88</v>
      </c>
      <c r="U43" t="s">
        <v>88</v>
      </c>
      <c r="V43" t="s">
        <v>4</v>
      </c>
      <c r="W43" t="s">
        <v>4</v>
      </c>
      <c r="X43" t="s">
        <v>6</v>
      </c>
      <c r="Y43" t="s">
        <v>6</v>
      </c>
    </row>
    <row r="44" spans="1:25" x14ac:dyDescent="0.25">
      <c r="B44">
        <v>33069148</v>
      </c>
      <c r="C44">
        <v>76948236</v>
      </c>
      <c r="D44" s="2">
        <v>1401223488</v>
      </c>
      <c r="E44">
        <v>1914248172</v>
      </c>
      <c r="F44">
        <v>7623460134</v>
      </c>
      <c r="G44">
        <v>6393253350</v>
      </c>
      <c r="H44">
        <v>2163321006</v>
      </c>
      <c r="I44">
        <v>5149875638</v>
      </c>
      <c r="J44">
        <v>8423564564</v>
      </c>
      <c r="K44">
        <v>14757804406</v>
      </c>
      <c r="L44">
        <v>3477398</v>
      </c>
      <c r="M44">
        <v>2616836</v>
      </c>
      <c r="N44" s="4">
        <v>11906.24</v>
      </c>
      <c r="O44" s="4">
        <v>18346.59</v>
      </c>
      <c r="T44">
        <v>9.8259181509999998</v>
      </c>
      <c r="U44">
        <v>14.149341994</v>
      </c>
      <c r="V44">
        <v>11.683635000000001</v>
      </c>
      <c r="W44">
        <v>18.226061999999999</v>
      </c>
      <c r="X44">
        <v>0.32532299999999997</v>
      </c>
      <c r="Y44">
        <v>0.45145400000000002</v>
      </c>
    </row>
    <row r="45" spans="1:25" x14ac:dyDescent="0.25">
      <c r="B45">
        <v>59289898</v>
      </c>
      <c r="C45">
        <v>75404222</v>
      </c>
      <c r="D45" s="2">
        <v>1868028670</v>
      </c>
      <c r="E45">
        <v>2355184712</v>
      </c>
      <c r="F45">
        <v>7761500408</v>
      </c>
      <c r="G45">
        <v>6238829958</v>
      </c>
      <c r="H45">
        <v>1903754060</v>
      </c>
      <c r="I45">
        <v>5599808666</v>
      </c>
      <c r="J45">
        <v>8711894022</v>
      </c>
      <c r="K45">
        <v>7476470864</v>
      </c>
      <c r="L45">
        <v>5491676</v>
      </c>
      <c r="M45">
        <v>3625600</v>
      </c>
      <c r="N45" s="4">
        <v>12357.78</v>
      </c>
      <c r="O45" s="4">
        <v>15455.06</v>
      </c>
      <c r="T45">
        <v>10.15968045</v>
      </c>
      <c r="U45">
        <v>10.877270862</v>
      </c>
      <c r="V45">
        <v>12.156091999999999</v>
      </c>
      <c r="W45">
        <v>15.397347</v>
      </c>
      <c r="X45">
        <v>0.29807299999999998</v>
      </c>
      <c r="Y45">
        <v>0.36654199999999998</v>
      </c>
    </row>
    <row r="46" spans="1:25" x14ac:dyDescent="0.25">
      <c r="B46">
        <v>58153080</v>
      </c>
      <c r="C46">
        <v>74755912</v>
      </c>
      <c r="D46" s="2">
        <v>1420316292</v>
      </c>
      <c r="E46">
        <v>2337725100</v>
      </c>
      <c r="F46">
        <v>7968870812</v>
      </c>
      <c r="G46">
        <v>6279274916</v>
      </c>
      <c r="H46">
        <v>2101353780</v>
      </c>
      <c r="I46">
        <v>5906595468</v>
      </c>
      <c r="J46">
        <v>8970747418</v>
      </c>
      <c r="K46">
        <v>7492703570</v>
      </c>
      <c r="L46">
        <v>3639410</v>
      </c>
      <c r="M46">
        <v>4181226</v>
      </c>
      <c r="N46" s="4">
        <v>12359.62</v>
      </c>
      <c r="O46" s="4">
        <v>15783</v>
      </c>
      <c r="T46">
        <v>10.263530284</v>
      </c>
      <c r="U46">
        <v>11.050037146999999</v>
      </c>
      <c r="V46">
        <v>12.168087999999999</v>
      </c>
      <c r="W46">
        <v>15.501802</v>
      </c>
      <c r="X46">
        <v>0.29585099999999998</v>
      </c>
      <c r="Y46">
        <v>0.57606599999999997</v>
      </c>
    </row>
    <row r="47" spans="1:25" x14ac:dyDescent="0.25">
      <c r="B47">
        <v>52667026</v>
      </c>
      <c r="C47">
        <v>76731370</v>
      </c>
      <c r="D47">
        <v>1685379650</v>
      </c>
      <c r="E47">
        <v>2086187826</v>
      </c>
      <c r="F47">
        <v>8040277076</v>
      </c>
      <c r="G47">
        <v>6346881614</v>
      </c>
      <c r="H47">
        <v>2080790520</v>
      </c>
      <c r="I47">
        <v>4959382260</v>
      </c>
      <c r="J47">
        <v>9036037100</v>
      </c>
      <c r="K47">
        <v>7675089778</v>
      </c>
      <c r="L47">
        <v>7363596</v>
      </c>
      <c r="M47">
        <v>3061960</v>
      </c>
      <c r="N47" s="4">
        <v>12665.71</v>
      </c>
      <c r="O47" s="4">
        <v>14681.33</v>
      </c>
      <c r="T47">
        <v>10.453766071</v>
      </c>
      <c r="U47">
        <v>10.575730235</v>
      </c>
      <c r="V47">
        <v>12.383241999999999</v>
      </c>
      <c r="W47">
        <v>14.558654000000001</v>
      </c>
      <c r="X47">
        <v>0.370556</v>
      </c>
      <c r="Y47">
        <v>0.49103999999999998</v>
      </c>
    </row>
    <row r="48" spans="1:25" x14ac:dyDescent="0.25">
      <c r="B48">
        <v>55658586</v>
      </c>
      <c r="C48">
        <v>76076540</v>
      </c>
      <c r="D48">
        <v>1804945046</v>
      </c>
      <c r="E48">
        <v>2201480892</v>
      </c>
      <c r="F48">
        <v>8132279726</v>
      </c>
      <c r="G48">
        <v>6304833558</v>
      </c>
      <c r="H48">
        <v>1925828970</v>
      </c>
      <c r="I48">
        <v>5699259174</v>
      </c>
      <c r="J48">
        <v>8974009444</v>
      </c>
      <c r="K48">
        <v>7496028668</v>
      </c>
      <c r="L48">
        <v>3192218</v>
      </c>
      <c r="M48">
        <v>3604876</v>
      </c>
      <c r="N48" s="4">
        <v>12648.25</v>
      </c>
      <c r="O48" s="4">
        <v>15429.21</v>
      </c>
      <c r="T48">
        <v>10.449971416</v>
      </c>
      <c r="U48">
        <v>10.892815709000001</v>
      </c>
      <c r="V48">
        <v>12.403147000000001</v>
      </c>
      <c r="W48">
        <v>15.234964</v>
      </c>
      <c r="X48">
        <v>0.34274399999999999</v>
      </c>
      <c r="Y48">
        <v>0.46253699999999998</v>
      </c>
    </row>
    <row r="49" spans="2:25" x14ac:dyDescent="0.25">
      <c r="B49">
        <v>57181656</v>
      </c>
      <c r="C49">
        <v>76870448</v>
      </c>
      <c r="D49">
        <v>1533120992</v>
      </c>
      <c r="E49">
        <v>2063259576</v>
      </c>
      <c r="F49">
        <v>8140638600</v>
      </c>
      <c r="G49">
        <v>11422321892</v>
      </c>
      <c r="H49">
        <v>1969141384</v>
      </c>
      <c r="I49">
        <v>2916511618</v>
      </c>
      <c r="J49">
        <v>9020633586</v>
      </c>
      <c r="K49">
        <v>7541336500</v>
      </c>
      <c r="L49">
        <v>4393244</v>
      </c>
      <c r="M49">
        <v>3309280</v>
      </c>
      <c r="N49" s="4">
        <v>12457.26</v>
      </c>
      <c r="O49" s="4">
        <v>15137.9</v>
      </c>
      <c r="T49">
        <v>10.364761492</v>
      </c>
      <c r="U49">
        <v>12.014136246</v>
      </c>
      <c r="V49">
        <v>12.221062</v>
      </c>
      <c r="W49">
        <v>15.449781</v>
      </c>
      <c r="X49">
        <v>0.354738</v>
      </c>
      <c r="Y49">
        <v>0.22942899999999999</v>
      </c>
    </row>
    <row r="50" spans="2:25" x14ac:dyDescent="0.25">
      <c r="B50">
        <v>58898212</v>
      </c>
      <c r="C50">
        <v>78422580</v>
      </c>
      <c r="D50">
        <v>1776314988</v>
      </c>
      <c r="E50" s="2">
        <v>2623496604</v>
      </c>
      <c r="F50">
        <v>7912347630</v>
      </c>
      <c r="G50">
        <v>6395689806</v>
      </c>
      <c r="H50">
        <v>2150914742</v>
      </c>
      <c r="I50">
        <v>5091297688</v>
      </c>
      <c r="J50">
        <v>8988651102</v>
      </c>
      <c r="K50">
        <v>7652389258</v>
      </c>
      <c r="L50">
        <v>3266698</v>
      </c>
      <c r="M50">
        <v>3424884</v>
      </c>
      <c r="N50" s="4">
        <v>12730.29</v>
      </c>
      <c r="O50" s="4">
        <v>15401.14</v>
      </c>
      <c r="T50">
        <v>10.446995898000001</v>
      </c>
      <c r="U50">
        <v>10.924416312</v>
      </c>
      <c r="V50">
        <v>12.490249</v>
      </c>
      <c r="W50">
        <v>15.225713000000001</v>
      </c>
      <c r="X50">
        <v>0.324017</v>
      </c>
      <c r="Y50">
        <v>0.431674</v>
      </c>
    </row>
    <row r="51" spans="2:25" x14ac:dyDescent="0.25">
      <c r="B51">
        <v>47702502</v>
      </c>
      <c r="C51">
        <v>76670612</v>
      </c>
      <c r="D51">
        <v>1590928106</v>
      </c>
      <c r="E51" s="2">
        <v>2137656258</v>
      </c>
      <c r="F51">
        <v>7896524864</v>
      </c>
      <c r="G51">
        <v>8252449238</v>
      </c>
      <c r="H51">
        <v>1996761966</v>
      </c>
      <c r="I51">
        <v>3272834544</v>
      </c>
      <c r="J51">
        <v>8963436270</v>
      </c>
      <c r="K51">
        <v>7536808600</v>
      </c>
      <c r="L51">
        <v>4554146</v>
      </c>
      <c r="M51">
        <v>2765650</v>
      </c>
      <c r="N51" s="4">
        <v>12364.73</v>
      </c>
      <c r="O51" s="4">
        <v>13963.36</v>
      </c>
      <c r="T51">
        <v>10.25243568</v>
      </c>
      <c r="U51">
        <v>10.641562293</v>
      </c>
      <c r="V51">
        <v>12.105858</v>
      </c>
      <c r="W51">
        <v>14.311147999999999</v>
      </c>
      <c r="X51">
        <v>0.342862</v>
      </c>
      <c r="Y51">
        <v>0.141599</v>
      </c>
    </row>
    <row r="52" spans="2:25" x14ac:dyDescent="0.25">
      <c r="B52">
        <v>54938360</v>
      </c>
      <c r="C52">
        <v>75217574</v>
      </c>
      <c r="D52">
        <v>1584033728</v>
      </c>
      <c r="E52" s="2">
        <v>2458464422</v>
      </c>
      <c r="F52">
        <v>7918700674</v>
      </c>
      <c r="G52">
        <v>11330835364</v>
      </c>
      <c r="H52">
        <v>2135621976</v>
      </c>
      <c r="I52">
        <v>5318799586</v>
      </c>
      <c r="J52">
        <v>8819864422</v>
      </c>
      <c r="K52">
        <v>7612635290</v>
      </c>
      <c r="L52">
        <v>3755002</v>
      </c>
      <c r="M52">
        <v>3271896</v>
      </c>
      <c r="N52" s="4">
        <v>12438.09</v>
      </c>
      <c r="O52" s="4">
        <v>17923.28</v>
      </c>
      <c r="T52">
        <v>10.262600604999999</v>
      </c>
      <c r="U52">
        <v>13.401508768999999</v>
      </c>
      <c r="V52">
        <v>12.189277000000001</v>
      </c>
      <c r="W52">
        <v>17.673956</v>
      </c>
      <c r="X52">
        <v>0.33712199999999998</v>
      </c>
      <c r="Y52">
        <v>0.43773899999999999</v>
      </c>
    </row>
    <row r="53" spans="2:25" x14ac:dyDescent="0.25">
      <c r="B53">
        <v>52916798</v>
      </c>
      <c r="C53">
        <v>75168668</v>
      </c>
      <c r="D53">
        <v>1670234800</v>
      </c>
      <c r="E53" s="2">
        <v>2104097630</v>
      </c>
      <c r="F53">
        <v>7905217968</v>
      </c>
      <c r="G53">
        <v>10248039528</v>
      </c>
      <c r="H53">
        <v>2070230192</v>
      </c>
      <c r="I53">
        <v>3010027276</v>
      </c>
      <c r="J53">
        <v>8866682858</v>
      </c>
      <c r="K53">
        <v>7554041932</v>
      </c>
      <c r="L53">
        <v>3348754</v>
      </c>
      <c r="M53">
        <v>2572280</v>
      </c>
      <c r="N53" s="4">
        <v>12474.67</v>
      </c>
      <c r="O53" s="4">
        <v>14685.98</v>
      </c>
      <c r="T53">
        <v>10.287889907</v>
      </c>
      <c r="U53">
        <v>11.499071938</v>
      </c>
      <c r="V53">
        <v>12.185911000000001</v>
      </c>
      <c r="W53">
        <v>15.088818</v>
      </c>
      <c r="X53">
        <v>0.36033100000000001</v>
      </c>
      <c r="Y53">
        <v>0.15384600000000001</v>
      </c>
    </row>
    <row r="54" spans="2:25" x14ac:dyDescent="0.25">
      <c r="B54">
        <f>AVERAGE(B44:B53)</f>
        <v>53047526.600000001</v>
      </c>
      <c r="C54">
        <f t="shared" ref="C54:Y54" si="2">AVERAGE(C44:C53)</f>
        <v>76226616.200000003</v>
      </c>
      <c r="D54">
        <f t="shared" si="2"/>
        <v>1633452576</v>
      </c>
      <c r="E54">
        <f t="shared" si="2"/>
        <v>2228180119.1999998</v>
      </c>
      <c r="F54">
        <f t="shared" si="2"/>
        <v>7929981789.1999998</v>
      </c>
      <c r="G54">
        <f t="shared" si="2"/>
        <v>7921240922.3999996</v>
      </c>
      <c r="H54">
        <f t="shared" si="2"/>
        <v>2049771859.5999999</v>
      </c>
      <c r="I54">
        <f t="shared" si="2"/>
        <v>4692439191.8000002</v>
      </c>
      <c r="J54">
        <f t="shared" si="2"/>
        <v>8877552078.6000004</v>
      </c>
      <c r="K54">
        <f t="shared" si="2"/>
        <v>8279530886.6000004</v>
      </c>
      <c r="L54">
        <f t="shared" si="2"/>
        <v>4248214.2</v>
      </c>
      <c r="M54">
        <f t="shared" si="2"/>
        <v>3243448.8</v>
      </c>
      <c r="N54">
        <f t="shared" si="2"/>
        <v>12440.263999999999</v>
      </c>
      <c r="O54">
        <f t="shared" si="2"/>
        <v>15680.685000000001</v>
      </c>
      <c r="P54" t="e">
        <f t="shared" si="2"/>
        <v>#DIV/0!</v>
      </c>
      <c r="Q54" t="e">
        <f t="shared" si="2"/>
        <v>#DIV/0!</v>
      </c>
      <c r="R54" t="e">
        <f t="shared" si="2"/>
        <v>#DIV/0!</v>
      </c>
      <c r="S54" t="e">
        <f t="shared" si="2"/>
        <v>#DIV/0!</v>
      </c>
      <c r="T54">
        <f t="shared" si="2"/>
        <v>10.276754995400001</v>
      </c>
      <c r="U54">
        <f t="shared" si="2"/>
        <v>11.602589150499998</v>
      </c>
      <c r="V54">
        <f t="shared" si="2"/>
        <v>12.198656100000003</v>
      </c>
      <c r="W54">
        <f t="shared" si="2"/>
        <v>15.666824500000001</v>
      </c>
      <c r="X54">
        <f t="shared" si="2"/>
        <v>0.33516169999999995</v>
      </c>
      <c r="Y54">
        <f t="shared" si="2"/>
        <v>0.37419260000000004</v>
      </c>
    </row>
    <row r="55" spans="2:25" x14ac:dyDescent="0.25">
      <c r="C55">
        <f>100*C54/B54</f>
        <v>143.6949488234952</v>
      </c>
      <c r="E55">
        <f>100*E54/D54</f>
        <v>136.409232317988</v>
      </c>
      <c r="G55">
        <f>100*G54/F54</f>
        <v>99.889774440441911</v>
      </c>
      <c r="I55">
        <f>100*I54/H54</f>
        <v>228.92494937049727</v>
      </c>
      <c r="K55">
        <f>100*K54/J54</f>
        <v>93.263670134455481</v>
      </c>
      <c r="M55">
        <f>100*M54/L54</f>
        <v>76.348523104131615</v>
      </c>
      <c r="O55">
        <f>100*O54/N54</f>
        <v>126.04784753764071</v>
      </c>
      <c r="Q55" t="e">
        <f>100*Q54/P54</f>
        <v>#DIV/0!</v>
      </c>
      <c r="S55" t="e">
        <f>100*S54/R54</f>
        <v>#DIV/0!</v>
      </c>
      <c r="U55">
        <f>100*U54/T54</f>
        <v>112.90129185422302</v>
      </c>
      <c r="W55">
        <f>100*W54/V54</f>
        <v>128.43074164538498</v>
      </c>
      <c r="Y55">
        <f>100*Y54/X54</f>
        <v>111.64539385019233</v>
      </c>
    </row>
    <row r="56" spans="2:25" x14ac:dyDescent="0.25">
      <c r="I56">
        <f>AVERAGE(I55,K55)</f>
        <v>161.09430975247636</v>
      </c>
    </row>
    <row r="63" spans="2:25" x14ac:dyDescent="0.25">
      <c r="F63" s="2"/>
    </row>
    <row r="64" spans="2:25" x14ac:dyDescent="0.25">
      <c r="F64" s="2"/>
    </row>
    <row r="65" spans="6:6" x14ac:dyDescent="0.25">
      <c r="F65" s="2"/>
    </row>
    <row r="66" spans="6:6" x14ac:dyDescent="0.25">
      <c r="F66" s="2"/>
    </row>
    <row r="67" spans="6:6" x14ac:dyDescent="0.25">
      <c r="F67" s="2"/>
    </row>
    <row r="68" spans="6:6" x14ac:dyDescent="0.25">
      <c r="F68" s="2"/>
    </row>
    <row r="69" spans="6:6" x14ac:dyDescent="0.25">
      <c r="F69" s="2"/>
    </row>
    <row r="90" spans="1:25" x14ac:dyDescent="0.25">
      <c r="A90" t="s">
        <v>111</v>
      </c>
      <c r="B90" t="s">
        <v>81</v>
      </c>
      <c r="C90" t="s">
        <v>82</v>
      </c>
      <c r="D90" t="s">
        <v>81</v>
      </c>
      <c r="E90" t="s">
        <v>82</v>
      </c>
      <c r="F90" t="s">
        <v>81</v>
      </c>
      <c r="G90" t="s">
        <v>82</v>
      </c>
      <c r="H90" t="s">
        <v>81</v>
      </c>
      <c r="I90" t="s">
        <v>82</v>
      </c>
      <c r="J90" t="s">
        <v>81</v>
      </c>
      <c r="K90" t="s">
        <v>82</v>
      </c>
      <c r="L90" t="s">
        <v>81</v>
      </c>
      <c r="M90" t="s">
        <v>82</v>
      </c>
      <c r="N90" t="s">
        <v>81</v>
      </c>
      <c r="O90" t="s">
        <v>82</v>
      </c>
      <c r="P90" t="s">
        <v>81</v>
      </c>
      <c r="Q90" t="s">
        <v>82</v>
      </c>
      <c r="R90" t="s">
        <v>81</v>
      </c>
      <c r="S90" t="s">
        <v>82</v>
      </c>
      <c r="T90" t="s">
        <v>81</v>
      </c>
      <c r="U90" t="s">
        <v>82</v>
      </c>
      <c r="V90" t="s">
        <v>81</v>
      </c>
      <c r="W90" t="s">
        <v>82</v>
      </c>
      <c r="X90" t="s">
        <v>81</v>
      </c>
      <c r="Y90" t="s">
        <v>82</v>
      </c>
    </row>
    <row r="91" spans="1:25" x14ac:dyDescent="0.25">
      <c r="B91" t="s">
        <v>112</v>
      </c>
      <c r="C91" t="s">
        <v>112</v>
      </c>
      <c r="D91" t="s">
        <v>104</v>
      </c>
      <c r="E91" t="s">
        <v>104</v>
      </c>
      <c r="F91" t="s">
        <v>105</v>
      </c>
      <c r="G91" t="s">
        <v>105</v>
      </c>
      <c r="H91" t="s">
        <v>93</v>
      </c>
      <c r="I91" t="s">
        <v>93</v>
      </c>
      <c r="J91" t="s">
        <v>106</v>
      </c>
      <c r="K91" t="s">
        <v>106</v>
      </c>
      <c r="L91" t="s">
        <v>84</v>
      </c>
      <c r="M91" t="s">
        <v>84</v>
      </c>
      <c r="N91" t="s">
        <v>85</v>
      </c>
      <c r="O91" t="s">
        <v>85</v>
      </c>
      <c r="P91" t="s">
        <v>86</v>
      </c>
      <c r="Q91" t="s">
        <v>86</v>
      </c>
      <c r="R91" t="s">
        <v>87</v>
      </c>
      <c r="S91" t="s">
        <v>87</v>
      </c>
      <c r="T91" t="s">
        <v>88</v>
      </c>
      <c r="U91" t="s">
        <v>88</v>
      </c>
      <c r="V91" t="s">
        <v>4</v>
      </c>
      <c r="W91" t="s">
        <v>4</v>
      </c>
      <c r="X91" t="s">
        <v>6</v>
      </c>
      <c r="Y91" t="s">
        <v>6</v>
      </c>
    </row>
    <row r="92" spans="1:25" x14ac:dyDescent="0.25">
      <c r="B92">
        <v>32451862</v>
      </c>
      <c r="C92">
        <v>70675144</v>
      </c>
      <c r="D92">
        <v>556808586</v>
      </c>
      <c r="E92">
        <v>608364782</v>
      </c>
      <c r="F92">
        <v>7483984</v>
      </c>
      <c r="G92">
        <v>16290814</v>
      </c>
      <c r="H92">
        <v>593902278</v>
      </c>
      <c r="I92">
        <v>669481384</v>
      </c>
      <c r="J92">
        <v>8336418</v>
      </c>
      <c r="K92">
        <v>19221172</v>
      </c>
      <c r="L92">
        <v>1922480</v>
      </c>
      <c r="M92">
        <v>2030040</v>
      </c>
      <c r="N92">
        <v>601.19000000000005</v>
      </c>
      <c r="O92">
        <v>693.24</v>
      </c>
      <c r="T92">
        <v>0.60177830300000001</v>
      </c>
      <c r="U92">
        <v>0.69431102499999997</v>
      </c>
      <c r="V92">
        <v>0.57468200000000003</v>
      </c>
      <c r="W92">
        <v>0.61879399999999996</v>
      </c>
      <c r="X92">
        <v>1.7902999999999999E-2</v>
      </c>
      <c r="Y92">
        <v>3.6393000000000002E-2</v>
      </c>
    </row>
    <row r="93" spans="1:25" x14ac:dyDescent="0.25">
      <c r="B93">
        <v>32767820</v>
      </c>
      <c r="C93">
        <v>72004590</v>
      </c>
      <c r="D93">
        <v>556501272</v>
      </c>
      <c r="E93">
        <v>605861426</v>
      </c>
      <c r="F93">
        <v>7483214</v>
      </c>
      <c r="G93">
        <v>16276742</v>
      </c>
      <c r="H93">
        <v>607287122</v>
      </c>
      <c r="I93">
        <v>673060192</v>
      </c>
      <c r="J93">
        <v>8228292</v>
      </c>
      <c r="K93">
        <v>20253790</v>
      </c>
      <c r="L93">
        <v>1928160</v>
      </c>
      <c r="M93">
        <v>2075312</v>
      </c>
      <c r="N93">
        <v>607.77</v>
      </c>
      <c r="O93">
        <v>695.48</v>
      </c>
      <c r="T93">
        <v>0.60834107999999998</v>
      </c>
      <c r="U93">
        <v>0.69606775600000004</v>
      </c>
      <c r="V93">
        <v>0.58260599999999996</v>
      </c>
      <c r="W93">
        <v>0.62198299999999995</v>
      </c>
      <c r="X93">
        <v>1.6912E-2</v>
      </c>
      <c r="Y93">
        <v>3.5666000000000003E-2</v>
      </c>
    </row>
    <row r="94" spans="1:25" x14ac:dyDescent="0.25">
      <c r="B94">
        <v>32414436</v>
      </c>
      <c r="C94">
        <v>71222380</v>
      </c>
      <c r="D94">
        <v>559283016</v>
      </c>
      <c r="E94">
        <v>607669506</v>
      </c>
      <c r="F94">
        <v>7256998</v>
      </c>
      <c r="G94">
        <v>16305836</v>
      </c>
      <c r="H94">
        <v>604793326</v>
      </c>
      <c r="I94">
        <v>669362022</v>
      </c>
      <c r="J94">
        <v>8326762</v>
      </c>
      <c r="K94">
        <v>19337344</v>
      </c>
      <c r="L94">
        <v>1894052</v>
      </c>
      <c r="M94">
        <v>2061460</v>
      </c>
      <c r="N94">
        <v>607.61</v>
      </c>
      <c r="O94">
        <v>693.62</v>
      </c>
      <c r="T94">
        <v>0.60818229899999998</v>
      </c>
      <c r="U94">
        <v>0.69424576100000002</v>
      </c>
      <c r="V94">
        <v>0.58263200000000004</v>
      </c>
      <c r="W94">
        <v>0.62216899999999997</v>
      </c>
      <c r="X94">
        <v>1.6943E-2</v>
      </c>
      <c r="Y94">
        <v>3.3582000000000001E-2</v>
      </c>
    </row>
    <row r="95" spans="1:25" x14ac:dyDescent="0.25">
      <c r="B95">
        <v>32080676</v>
      </c>
      <c r="C95">
        <v>70771608</v>
      </c>
      <c r="D95">
        <v>557038958</v>
      </c>
      <c r="E95">
        <v>608581510</v>
      </c>
      <c r="F95">
        <v>7534978</v>
      </c>
      <c r="G95">
        <v>15828078</v>
      </c>
      <c r="H95">
        <v>615853468</v>
      </c>
      <c r="I95">
        <v>670842298</v>
      </c>
      <c r="J95">
        <v>8669590</v>
      </c>
      <c r="K95">
        <v>18757924</v>
      </c>
      <c r="L95">
        <v>1904306</v>
      </c>
      <c r="M95">
        <v>2129720</v>
      </c>
      <c r="N95">
        <v>612.1</v>
      </c>
      <c r="O95">
        <v>694.17</v>
      </c>
      <c r="T95">
        <v>0.61267537400000005</v>
      </c>
      <c r="U95">
        <v>0.69476463099999997</v>
      </c>
      <c r="V95">
        <v>0.58791000000000004</v>
      </c>
      <c r="W95">
        <v>0.621</v>
      </c>
      <c r="X95">
        <v>1.5904999999999999E-2</v>
      </c>
      <c r="Y95">
        <v>3.4589000000000002E-2</v>
      </c>
    </row>
    <row r="96" spans="1:25" x14ac:dyDescent="0.25">
      <c r="B96">
        <v>32534724</v>
      </c>
      <c r="C96">
        <v>71651816</v>
      </c>
      <c r="D96">
        <v>557554416</v>
      </c>
      <c r="E96">
        <v>606994438</v>
      </c>
      <c r="F96">
        <v>7458880</v>
      </c>
      <c r="G96">
        <v>15826262</v>
      </c>
      <c r="H96">
        <v>598133618</v>
      </c>
      <c r="I96">
        <v>666305640</v>
      </c>
      <c r="J96">
        <v>8880854</v>
      </c>
      <c r="K96">
        <v>18433572</v>
      </c>
      <c r="L96">
        <v>1949066</v>
      </c>
      <c r="M96">
        <v>2012844</v>
      </c>
      <c r="N96">
        <v>603.85</v>
      </c>
      <c r="O96">
        <v>691.34</v>
      </c>
      <c r="T96">
        <v>0.60440851799999995</v>
      </c>
      <c r="U96">
        <v>0.69189031199999995</v>
      </c>
      <c r="V96">
        <v>0.57844300000000004</v>
      </c>
      <c r="W96">
        <v>0.61897500000000005</v>
      </c>
      <c r="X96">
        <v>1.6912E-2</v>
      </c>
      <c r="Y96">
        <v>3.4462E-2</v>
      </c>
    </row>
    <row r="97" spans="2:25" x14ac:dyDescent="0.25">
      <c r="B97">
        <v>32273082</v>
      </c>
      <c r="C97">
        <v>71984822</v>
      </c>
      <c r="D97">
        <v>556561792</v>
      </c>
      <c r="E97">
        <v>608242802</v>
      </c>
      <c r="F97">
        <v>7209984</v>
      </c>
      <c r="G97">
        <v>16070290</v>
      </c>
      <c r="H97">
        <v>588070740</v>
      </c>
      <c r="I97">
        <v>678531112</v>
      </c>
      <c r="J97">
        <v>8366060</v>
      </c>
      <c r="K97">
        <v>19675600</v>
      </c>
      <c r="L97">
        <v>1811966</v>
      </c>
      <c r="M97">
        <v>1971170</v>
      </c>
      <c r="N97">
        <v>597.86</v>
      </c>
      <c r="O97">
        <v>698.94</v>
      </c>
      <c r="T97">
        <v>0.59830033400000004</v>
      </c>
      <c r="U97">
        <v>0.69950452900000004</v>
      </c>
      <c r="V97">
        <v>0.57451099999999999</v>
      </c>
      <c r="W97">
        <v>0.62354600000000004</v>
      </c>
      <c r="X97">
        <v>1.4925000000000001E-2</v>
      </c>
      <c r="Y97">
        <v>3.7418E-2</v>
      </c>
    </row>
    <row r="98" spans="2:25" x14ac:dyDescent="0.25">
      <c r="B98">
        <v>32127590</v>
      </c>
      <c r="C98">
        <v>72183624</v>
      </c>
      <c r="D98">
        <v>557433148</v>
      </c>
      <c r="E98">
        <v>608372776</v>
      </c>
      <c r="F98">
        <v>7243640</v>
      </c>
      <c r="G98">
        <v>16768514</v>
      </c>
      <c r="H98">
        <v>603475272</v>
      </c>
      <c r="I98">
        <v>675238664</v>
      </c>
      <c r="J98">
        <v>8554504</v>
      </c>
      <c r="K98">
        <v>20324988</v>
      </c>
      <c r="L98">
        <v>1853230</v>
      </c>
      <c r="M98">
        <v>2030986</v>
      </c>
      <c r="N98">
        <v>605.91999999999996</v>
      </c>
      <c r="O98">
        <v>698.16</v>
      </c>
      <c r="T98">
        <v>0.60648641299999995</v>
      </c>
      <c r="U98">
        <v>0.69873737000000002</v>
      </c>
      <c r="V98">
        <v>0.57757000000000003</v>
      </c>
      <c r="W98">
        <v>0.62663199999999997</v>
      </c>
      <c r="X98">
        <v>1.9890000000000001E-2</v>
      </c>
      <c r="Y98">
        <v>3.3604000000000002E-2</v>
      </c>
    </row>
    <row r="99" spans="2:25" x14ac:dyDescent="0.25">
      <c r="B99">
        <v>32213044</v>
      </c>
      <c r="C99">
        <v>72412712</v>
      </c>
      <c r="D99">
        <v>560408246</v>
      </c>
      <c r="E99">
        <v>609837700</v>
      </c>
      <c r="F99">
        <v>7218930</v>
      </c>
      <c r="G99">
        <v>16178530</v>
      </c>
      <c r="H99">
        <v>643511596</v>
      </c>
      <c r="I99">
        <v>665288206</v>
      </c>
      <c r="J99">
        <v>8659096</v>
      </c>
      <c r="K99">
        <v>19547090</v>
      </c>
      <c r="L99">
        <v>1963044</v>
      </c>
      <c r="M99">
        <v>2089424</v>
      </c>
      <c r="N99">
        <v>620.15</v>
      </c>
      <c r="O99">
        <v>693.33</v>
      </c>
      <c r="T99">
        <v>0.62817454900000003</v>
      </c>
      <c r="U99">
        <v>0.69395862699999999</v>
      </c>
      <c r="V99">
        <v>0.59247799999999995</v>
      </c>
      <c r="W99">
        <v>0.61779300000000004</v>
      </c>
      <c r="X99">
        <v>1.7902999999999999E-2</v>
      </c>
      <c r="Y99">
        <v>3.7336000000000001E-2</v>
      </c>
    </row>
    <row r="100" spans="2:25" x14ac:dyDescent="0.25">
      <c r="B100">
        <v>32068070</v>
      </c>
      <c r="C100">
        <v>70929548</v>
      </c>
      <c r="D100">
        <v>562229700</v>
      </c>
      <c r="E100">
        <v>612527608</v>
      </c>
      <c r="F100">
        <v>7252114</v>
      </c>
      <c r="G100">
        <v>15935302</v>
      </c>
      <c r="H100">
        <v>662909326</v>
      </c>
      <c r="I100">
        <v>676106102</v>
      </c>
      <c r="J100">
        <v>8319670</v>
      </c>
      <c r="K100">
        <v>18796498</v>
      </c>
      <c r="L100">
        <v>1918190</v>
      </c>
      <c r="M100">
        <v>2098702</v>
      </c>
      <c r="N100">
        <v>637.95000000000005</v>
      </c>
      <c r="O100">
        <v>698.78</v>
      </c>
      <c r="T100">
        <v>0.63849794699999995</v>
      </c>
      <c r="U100">
        <v>0.699480718</v>
      </c>
      <c r="V100">
        <v>0.61235899999999999</v>
      </c>
      <c r="W100">
        <v>0.62711600000000001</v>
      </c>
      <c r="X100">
        <v>1.6934999999999999E-2</v>
      </c>
      <c r="Y100">
        <v>3.3725999999999999E-2</v>
      </c>
    </row>
    <row r="101" spans="2:25" x14ac:dyDescent="0.25">
      <c r="B101">
        <v>32401940</v>
      </c>
      <c r="C101">
        <v>71535386</v>
      </c>
      <c r="D101">
        <v>557637436</v>
      </c>
      <c r="E101">
        <v>608705316</v>
      </c>
      <c r="F101">
        <v>7206308</v>
      </c>
      <c r="G101">
        <v>16147690</v>
      </c>
      <c r="H101">
        <v>617145490</v>
      </c>
      <c r="I101">
        <v>675622812</v>
      </c>
      <c r="J101">
        <v>8353290</v>
      </c>
      <c r="K101">
        <v>19433808</v>
      </c>
      <c r="L101">
        <v>1760868</v>
      </c>
      <c r="M101">
        <v>2189774</v>
      </c>
      <c r="N101">
        <v>612.85</v>
      </c>
      <c r="O101">
        <v>697.56</v>
      </c>
      <c r="T101">
        <v>0.61339217700000004</v>
      </c>
      <c r="U101">
        <v>0.698062925</v>
      </c>
      <c r="V101">
        <v>0.58809900000000004</v>
      </c>
      <c r="W101">
        <v>0.62640499999999999</v>
      </c>
      <c r="X101">
        <v>1.5913E-2</v>
      </c>
      <c r="Y101">
        <v>3.2565999999999998E-2</v>
      </c>
    </row>
    <row r="102" spans="2:25" x14ac:dyDescent="0.25">
      <c r="B102">
        <f>AVERAGE(B92:B101)</f>
        <v>32333324.399999999</v>
      </c>
      <c r="C102">
        <f t="shared" ref="C102:Y102" si="3">AVERAGE(C92:C101)</f>
        <v>71537163</v>
      </c>
      <c r="D102">
        <f t="shared" si="3"/>
        <v>558145657</v>
      </c>
      <c r="E102">
        <f t="shared" si="3"/>
        <v>608515786.39999998</v>
      </c>
      <c r="F102">
        <f t="shared" si="3"/>
        <v>7334903</v>
      </c>
      <c r="G102">
        <f t="shared" si="3"/>
        <v>16162805.800000001</v>
      </c>
      <c r="H102">
        <f t="shared" si="3"/>
        <v>613508223.60000002</v>
      </c>
      <c r="I102">
        <f t="shared" si="3"/>
        <v>671983843.20000005</v>
      </c>
      <c r="J102">
        <f t="shared" si="3"/>
        <v>8469453.5999999996</v>
      </c>
      <c r="K102">
        <f t="shared" si="3"/>
        <v>19378178.600000001</v>
      </c>
      <c r="L102">
        <f t="shared" si="3"/>
        <v>1890536.2</v>
      </c>
      <c r="M102">
        <f t="shared" si="3"/>
        <v>2068943.2</v>
      </c>
      <c r="N102">
        <f t="shared" si="3"/>
        <v>610.72500000000002</v>
      </c>
      <c r="O102">
        <f t="shared" si="3"/>
        <v>695.4620000000001</v>
      </c>
      <c r="P102" t="e">
        <f t="shared" si="3"/>
        <v>#DIV/0!</v>
      </c>
      <c r="Q102" t="e">
        <f t="shared" si="3"/>
        <v>#DIV/0!</v>
      </c>
      <c r="R102" t="e">
        <f t="shared" si="3"/>
        <v>#DIV/0!</v>
      </c>
      <c r="S102" t="e">
        <f t="shared" si="3"/>
        <v>#DIV/0!</v>
      </c>
      <c r="T102">
        <f t="shared" si="3"/>
        <v>0.61202369940000001</v>
      </c>
      <c r="U102">
        <f t="shared" si="3"/>
        <v>0.69610236540000003</v>
      </c>
      <c r="V102">
        <f t="shared" si="3"/>
        <v>0.5851289999999999</v>
      </c>
      <c r="W102">
        <f t="shared" si="3"/>
        <v>0.62244129999999998</v>
      </c>
      <c r="X102">
        <f t="shared" si="3"/>
        <v>1.7014100000000001E-2</v>
      </c>
      <c r="Y102">
        <f t="shared" si="3"/>
        <v>3.4934199999999999E-2</v>
      </c>
    </row>
    <row r="103" spans="2:25" x14ac:dyDescent="0.25">
      <c r="C103">
        <f>100*C102/B102</f>
        <v>221.24901886055366</v>
      </c>
      <c r="E103">
        <f>100*E102/D102</f>
        <v>109.02454919576665</v>
      </c>
      <c r="G103">
        <f>100*G102/F102</f>
        <v>220.35473134409548</v>
      </c>
      <c r="I103">
        <f>100*I102/H102</f>
        <v>109.53135057536335</v>
      </c>
      <c r="K103">
        <f>100*K102/J102</f>
        <v>228.80081189653134</v>
      </c>
      <c r="M103">
        <f>100*M102/L102</f>
        <v>109.43684654120879</v>
      </c>
      <c r="O103">
        <f>100*O102/N102</f>
        <v>113.87482090957469</v>
      </c>
      <c r="U103">
        <f>100*U102/T102</f>
        <v>113.73781212760665</v>
      </c>
      <c r="W103">
        <f>100*W102/V102</f>
        <v>106.37676478178318</v>
      </c>
      <c r="Y103">
        <f>100*Y102/X102</f>
        <v>205.32499515108057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VM-TD</vt:lpstr>
      <vt:lpstr>Perf</vt:lpstr>
      <vt:lpstr>Cxx11</vt:lpstr>
      <vt:lpstr>Cxx14</vt:lpstr>
      <vt:lpstr>Cxx17</vt:lpstr>
      <vt:lpstr>Protobuf</vt:lpstr>
      <vt:lpstr>CommonLoader</vt:lpstr>
      <vt:lpstr>SampleEnclave</vt:lpstr>
      <vt:lpstr>GMIPP</vt:lpstr>
      <vt:lpstr>PCL</vt:lpstr>
      <vt:lpstr>SealUnseal</vt:lpstr>
      <vt:lpstr>Switchless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Zmudzinski, Krystof C</dc:creator>
  <cp:lastModifiedBy>Zmudzinski, Krystof C</cp:lastModifiedBy>
  <dcterms:created xsi:type="dcterms:W3CDTF">2025-09-06T22:56:05Z</dcterms:created>
  <dcterms:modified xsi:type="dcterms:W3CDTF">2025-11-10T07:52:22Z</dcterms:modified>
</cp:coreProperties>
</file>